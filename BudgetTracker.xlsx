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samanthasandoval/Downloads/"/>
    </mc:Choice>
  </mc:AlternateContent>
  <xr:revisionPtr revIDLastSave="0" documentId="8_{32F619FA-1072-B541-B877-2B571B1A6DDC}" xr6:coauthVersionLast="47" xr6:coauthVersionMax="47" xr10:uidLastSave="{00000000-0000-0000-0000-000000000000}"/>
  <bookViews>
    <workbookView xWindow="0" yWindow="500" windowWidth="28800" windowHeight="16480" activeTab="11" xr2:uid="{00000000-000D-0000-FFFF-FFFF00000000}"/>
  </bookViews>
  <sheets>
    <sheet name="Jan" sheetId="1" r:id="rId1"/>
    <sheet name="Feb" sheetId="2" r:id="rId2"/>
    <sheet name="Mar" sheetId="3" r:id="rId3"/>
    <sheet name="Apr" sheetId="4" r:id="rId4"/>
    <sheet name="May" sheetId="5" r:id="rId5"/>
    <sheet name="June" sheetId="6" r:id="rId6"/>
    <sheet name="July" sheetId="7" r:id="rId7"/>
    <sheet name="Aug" sheetId="8" r:id="rId8"/>
    <sheet name="Sep" sheetId="9" r:id="rId9"/>
    <sheet name="Oct" sheetId="10" r:id="rId10"/>
    <sheet name="Nov" sheetId="11" r:id="rId11"/>
    <sheet name="Dec" sheetId="12" r:id="rId1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1" i="12" l="1"/>
  <c r="I18" i="12"/>
  <c r="I19" i="12" s="1"/>
  <c r="I14" i="12"/>
  <c r="I15" i="12" s="1"/>
  <c r="I10" i="12"/>
  <c r="I11" i="12" s="1"/>
  <c r="B7" i="12"/>
  <c r="I9" i="12" s="1"/>
  <c r="I5" i="12"/>
  <c r="I4" i="12"/>
  <c r="I3" i="12"/>
  <c r="E31" i="11"/>
  <c r="I5" i="11" s="1"/>
  <c r="I18" i="11"/>
  <c r="I19" i="11" s="1"/>
  <c r="I14" i="11"/>
  <c r="I15" i="11" s="1"/>
  <c r="I10" i="11"/>
  <c r="I11" i="11" s="1"/>
  <c r="B7" i="11"/>
  <c r="I9" i="11" s="1"/>
  <c r="I4" i="11"/>
  <c r="I3" i="11"/>
  <c r="E31" i="10"/>
  <c r="I5" i="10" s="1"/>
  <c r="I18" i="10"/>
  <c r="I19" i="10" s="1"/>
  <c r="I14" i="10"/>
  <c r="I15" i="10" s="1"/>
  <c r="I10" i="10"/>
  <c r="I11" i="10" s="1"/>
  <c r="B7" i="10"/>
  <c r="I9" i="10" s="1"/>
  <c r="I4" i="10"/>
  <c r="I3" i="10"/>
  <c r="E31" i="9"/>
  <c r="I5" i="9" s="1"/>
  <c r="I18" i="9"/>
  <c r="I19" i="9" s="1"/>
  <c r="I14" i="9"/>
  <c r="I15" i="9" s="1"/>
  <c r="I10" i="9"/>
  <c r="I11" i="9" s="1"/>
  <c r="B7" i="9"/>
  <c r="I9" i="9" s="1"/>
  <c r="I4" i="9"/>
  <c r="I3" i="9"/>
  <c r="E31" i="8"/>
  <c r="I5" i="8" s="1"/>
  <c r="I18" i="8"/>
  <c r="I19" i="8" s="1"/>
  <c r="I14" i="8"/>
  <c r="I15" i="8" s="1"/>
  <c r="I10" i="8"/>
  <c r="I11" i="8" s="1"/>
  <c r="B7" i="8"/>
  <c r="I9" i="8" s="1"/>
  <c r="I4" i="8"/>
  <c r="I3" i="8"/>
  <c r="E31" i="7"/>
  <c r="I5" i="7" s="1"/>
  <c r="I18" i="7"/>
  <c r="I19" i="7" s="1"/>
  <c r="I14" i="7"/>
  <c r="I15" i="7" s="1"/>
  <c r="I10" i="7"/>
  <c r="I11" i="7" s="1"/>
  <c r="B7" i="7"/>
  <c r="I9" i="7" s="1"/>
  <c r="I4" i="7"/>
  <c r="I3" i="7"/>
  <c r="E31" i="6"/>
  <c r="I5" i="6" s="1"/>
  <c r="I18" i="6"/>
  <c r="I19" i="6" s="1"/>
  <c r="I14" i="6"/>
  <c r="I15" i="6" s="1"/>
  <c r="I10" i="6"/>
  <c r="I11" i="6" s="1"/>
  <c r="B7" i="6"/>
  <c r="I9" i="6" s="1"/>
  <c r="I4" i="6"/>
  <c r="I3" i="6"/>
  <c r="E31" i="5"/>
  <c r="I5" i="5" s="1"/>
  <c r="I18" i="5"/>
  <c r="I19" i="5" s="1"/>
  <c r="I14" i="5"/>
  <c r="I15" i="5" s="1"/>
  <c r="I10" i="5"/>
  <c r="I11" i="5" s="1"/>
  <c r="B7" i="5"/>
  <c r="I9" i="5" s="1"/>
  <c r="I4" i="5"/>
  <c r="I3" i="5"/>
  <c r="E31" i="4"/>
  <c r="I5" i="4" s="1"/>
  <c r="I18" i="4"/>
  <c r="I19" i="4" s="1"/>
  <c r="I14" i="4"/>
  <c r="I15" i="4" s="1"/>
  <c r="I10" i="4"/>
  <c r="I11" i="4" s="1"/>
  <c r="B7" i="4"/>
  <c r="I9" i="4" s="1"/>
  <c r="I4" i="4"/>
  <c r="I3" i="4"/>
  <c r="E31" i="3"/>
  <c r="I5" i="3" s="1"/>
  <c r="I18" i="3"/>
  <c r="I19" i="3" s="1"/>
  <c r="I14" i="3"/>
  <c r="I15" i="3" s="1"/>
  <c r="I10" i="3"/>
  <c r="I11" i="3" s="1"/>
  <c r="B7" i="3"/>
  <c r="I9" i="3" s="1"/>
  <c r="I4" i="3"/>
  <c r="I3" i="3"/>
  <c r="E31" i="2"/>
  <c r="I5" i="2" s="1"/>
  <c r="I18" i="2"/>
  <c r="I19" i="2" s="1"/>
  <c r="I14" i="2"/>
  <c r="I15" i="2" s="1"/>
  <c r="I10" i="2"/>
  <c r="I11" i="2" s="1"/>
  <c r="B7" i="2"/>
  <c r="I9" i="2" s="1"/>
  <c r="I4" i="2"/>
  <c r="I3" i="2"/>
  <c r="E31" i="1"/>
  <c r="I5" i="1" s="1"/>
  <c r="I18" i="1"/>
  <c r="I19" i="1" s="1"/>
  <c r="I14" i="1"/>
  <c r="I15" i="1" s="1"/>
  <c r="I10" i="1"/>
  <c r="I11" i="1" s="1"/>
  <c r="B7" i="1"/>
  <c r="I9" i="1" s="1"/>
  <c r="I4" i="1"/>
  <c r="I3" i="1"/>
  <c r="F4" i="1" l="1"/>
  <c r="I13" i="1"/>
  <c r="F4" i="2"/>
  <c r="I13" i="2"/>
  <c r="F4" i="3"/>
  <c r="I13" i="3"/>
  <c r="F4" i="4"/>
  <c r="I13" i="4"/>
  <c r="F4" i="5"/>
  <c r="I13" i="5"/>
  <c r="F4" i="6"/>
  <c r="I13" i="6"/>
  <c r="F4" i="7"/>
  <c r="I13" i="7"/>
  <c r="F4" i="8"/>
  <c r="I13" i="8"/>
  <c r="F4" i="9"/>
  <c r="I13" i="9"/>
  <c r="F4" i="10"/>
  <c r="I13" i="10"/>
  <c r="F4" i="11"/>
  <c r="I13" i="11"/>
  <c r="F4" i="12"/>
  <c r="I13" i="12"/>
  <c r="F5" i="1"/>
  <c r="F5" i="2"/>
  <c r="F5" i="3"/>
  <c r="F5" i="4"/>
  <c r="F5" i="5"/>
  <c r="F5" i="6"/>
  <c r="F5" i="7"/>
  <c r="F5" i="8"/>
  <c r="F5" i="9"/>
  <c r="F5" i="10"/>
  <c r="F5" i="11"/>
  <c r="F5" i="12"/>
  <c r="I17" i="1"/>
  <c r="I17" i="2"/>
  <c r="I17" i="3"/>
  <c r="I17" i="4"/>
  <c r="I17" i="5"/>
  <c r="I17" i="6"/>
  <c r="I17" i="7"/>
  <c r="I17" i="8"/>
  <c r="I17" i="9"/>
  <c r="I17" i="10"/>
  <c r="I17" i="11"/>
  <c r="I17" i="12"/>
</calcChain>
</file>

<file path=xl/sharedStrings.xml><?xml version="1.0" encoding="utf-8"?>
<sst xmlns="http://schemas.openxmlformats.org/spreadsheetml/2006/main" count="361" uniqueCount="63">
  <si>
    <t>January Budget</t>
  </si>
  <si>
    <r>
      <rPr>
        <b/>
        <sz val="10"/>
        <color rgb="FF1B3A57"/>
        <rFont val="Arial"/>
        <family val="2"/>
      </rPr>
      <t>Income</t>
    </r>
    <r>
      <rPr>
        <b/>
        <sz val="10"/>
        <color theme="1"/>
        <rFont val="Arial"/>
        <family val="2"/>
      </rPr>
      <t xml:space="preserve"> </t>
    </r>
  </si>
  <si>
    <t>Amount ($)</t>
  </si>
  <si>
    <t>Date Recieved</t>
  </si>
  <si>
    <t>Total Fixed Expenses</t>
  </si>
  <si>
    <t>Salary</t>
  </si>
  <si>
    <t>Remaining</t>
  </si>
  <si>
    <t>Total Variable Expenses</t>
  </si>
  <si>
    <t>VA</t>
  </si>
  <si>
    <t>% Saved</t>
  </si>
  <si>
    <t>Total Expenses</t>
  </si>
  <si>
    <t>Other</t>
  </si>
  <si>
    <t>Total Income</t>
  </si>
  <si>
    <t>Expense</t>
  </si>
  <si>
    <t>Rule</t>
  </si>
  <si>
    <t>Description</t>
  </si>
  <si>
    <t>Type</t>
  </si>
  <si>
    <t>Recommended Needs (30%)</t>
  </si>
  <si>
    <t>Phone Bill</t>
  </si>
  <si>
    <t>Need</t>
  </si>
  <si>
    <t>Fixed</t>
  </si>
  <si>
    <t>Actual Needs</t>
  </si>
  <si>
    <t>Savings</t>
  </si>
  <si>
    <t>Saving</t>
  </si>
  <si>
    <t>loans</t>
  </si>
  <si>
    <t>Variable</t>
  </si>
  <si>
    <t xml:space="preserve">% of Income </t>
  </si>
  <si>
    <t>Subscriptions</t>
  </si>
  <si>
    <t>Want</t>
  </si>
  <si>
    <t>Gas</t>
  </si>
  <si>
    <t>Recommended Wants (20%)</t>
  </si>
  <si>
    <t>Insurance</t>
  </si>
  <si>
    <t>car</t>
  </si>
  <si>
    <t>Actual Wants</t>
  </si>
  <si>
    <t>Entertainment</t>
  </si>
  <si>
    <t>w friends</t>
  </si>
  <si>
    <t>Groceries</t>
  </si>
  <si>
    <t>trader joes</t>
  </si>
  <si>
    <t>Recommended Savings (50%)</t>
  </si>
  <si>
    <t>Actual Savings</t>
  </si>
  <si>
    <t>Total Spent</t>
  </si>
  <si>
    <t>February Budget</t>
  </si>
  <si>
    <r>
      <rPr>
        <b/>
        <sz val="10"/>
        <color rgb="FF1B3A57"/>
        <rFont val="Arial"/>
        <family val="2"/>
      </rPr>
      <t>Income</t>
    </r>
    <r>
      <rPr>
        <b/>
        <sz val="10"/>
        <color theme="1"/>
        <rFont val="Arial"/>
        <family val="2"/>
      </rPr>
      <t xml:space="preserve"> </t>
    </r>
  </si>
  <si>
    <t>March Budget</t>
  </si>
  <si>
    <r>
      <rPr>
        <b/>
        <sz val="10"/>
        <color rgb="FF1B3A57"/>
        <rFont val="Arial"/>
        <family val="2"/>
      </rPr>
      <t>Income</t>
    </r>
    <r>
      <rPr>
        <b/>
        <sz val="10"/>
        <color theme="1"/>
        <rFont val="Arial"/>
        <family val="2"/>
      </rPr>
      <t xml:space="preserve"> </t>
    </r>
  </si>
  <si>
    <t>April Budget</t>
  </si>
  <si>
    <r>
      <rPr>
        <b/>
        <sz val="10"/>
        <color rgb="FF1B3A57"/>
        <rFont val="Arial"/>
        <family val="2"/>
      </rPr>
      <t>Income</t>
    </r>
    <r>
      <rPr>
        <b/>
        <sz val="10"/>
        <color theme="1"/>
        <rFont val="Arial"/>
        <family val="2"/>
      </rPr>
      <t xml:space="preserve"> </t>
    </r>
  </si>
  <si>
    <t>May Budget</t>
  </si>
  <si>
    <r>
      <rPr>
        <b/>
        <sz val="10"/>
        <color rgb="FF1B3A57"/>
        <rFont val="Arial"/>
        <family val="2"/>
      </rPr>
      <t>Income</t>
    </r>
    <r>
      <rPr>
        <b/>
        <sz val="10"/>
        <color theme="1"/>
        <rFont val="Arial"/>
        <family val="2"/>
      </rPr>
      <t xml:space="preserve"> </t>
    </r>
  </si>
  <si>
    <t>June Budget</t>
  </si>
  <si>
    <r>
      <rPr>
        <b/>
        <sz val="10"/>
        <color rgb="FF1B3A57"/>
        <rFont val="Arial"/>
        <family val="2"/>
      </rPr>
      <t>Income</t>
    </r>
    <r>
      <rPr>
        <b/>
        <sz val="10"/>
        <color theme="1"/>
        <rFont val="Arial"/>
        <family val="2"/>
      </rPr>
      <t xml:space="preserve"> </t>
    </r>
  </si>
  <si>
    <t>July Budget</t>
  </si>
  <si>
    <r>
      <rPr>
        <b/>
        <sz val="10"/>
        <color rgb="FF1B3A57"/>
        <rFont val="Arial"/>
        <family val="2"/>
      </rPr>
      <t>Income</t>
    </r>
    <r>
      <rPr>
        <b/>
        <sz val="10"/>
        <color theme="1"/>
        <rFont val="Arial"/>
        <family val="2"/>
      </rPr>
      <t xml:space="preserve"> </t>
    </r>
  </si>
  <si>
    <t>August Budget</t>
  </si>
  <si>
    <r>
      <rPr>
        <b/>
        <sz val="10"/>
        <color rgb="FF1B3A57"/>
        <rFont val="Arial"/>
        <family val="2"/>
      </rPr>
      <t>Income</t>
    </r>
    <r>
      <rPr>
        <b/>
        <sz val="10"/>
        <color theme="1"/>
        <rFont val="Arial"/>
        <family val="2"/>
      </rPr>
      <t xml:space="preserve"> </t>
    </r>
  </si>
  <si>
    <t>September Budget</t>
  </si>
  <si>
    <r>
      <rPr>
        <b/>
        <sz val="10"/>
        <color rgb="FF1B3A57"/>
        <rFont val="Arial"/>
        <family val="2"/>
      </rPr>
      <t>Income</t>
    </r>
    <r>
      <rPr>
        <b/>
        <sz val="10"/>
        <color theme="1"/>
        <rFont val="Arial"/>
        <family val="2"/>
      </rPr>
      <t xml:space="preserve"> </t>
    </r>
  </si>
  <si>
    <t>October Budget</t>
  </si>
  <si>
    <r>
      <rPr>
        <b/>
        <sz val="10"/>
        <color rgb="FF1B3A57"/>
        <rFont val="Arial"/>
        <family val="2"/>
      </rPr>
      <t>Income</t>
    </r>
    <r>
      <rPr>
        <b/>
        <sz val="10"/>
        <color theme="1"/>
        <rFont val="Arial"/>
        <family val="2"/>
      </rPr>
      <t xml:space="preserve"> </t>
    </r>
  </si>
  <si>
    <t>November Budget</t>
  </si>
  <si>
    <r>
      <rPr>
        <b/>
        <sz val="10"/>
        <color rgb="FF1B3A57"/>
        <rFont val="Arial"/>
        <family val="2"/>
      </rPr>
      <t>Income</t>
    </r>
    <r>
      <rPr>
        <b/>
        <sz val="10"/>
        <color theme="1"/>
        <rFont val="Arial"/>
        <family val="2"/>
      </rPr>
      <t xml:space="preserve"> </t>
    </r>
  </si>
  <si>
    <t>December Budget</t>
  </si>
  <si>
    <r>
      <rPr>
        <b/>
        <sz val="10"/>
        <color rgb="FF1B3A57"/>
        <rFont val="Arial"/>
        <family val="2"/>
      </rPr>
      <t>Income</t>
    </r>
    <r>
      <rPr>
        <b/>
        <sz val="10"/>
        <color theme="1"/>
        <rFont val="Arial"/>
        <family val="2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</si>
</sst>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m/d/yyyy"/>
  </numFmts>
  <fonts count="11" x14ac:knownFonts="1">
    <font>
      <sz val="10"/>
      <color rgb="FF000000"/>
      <name val="Arial"/>
      <scheme val="minor"/>
    </font>
    <font>
      <b/>
      <sz val="20"/>
      <color rgb="FF1B3A57"/>
      <name val="Courier New"/>
      <family val="1"/>
    </font>
    <font>
      <sz val="10"/>
      <name val="Arial"/>
      <family val="2"/>
    </font>
    <font>
      <b/>
      <sz val="10"/>
      <color theme="1"/>
      <name val="Arial"/>
      <family val="2"/>
      <scheme val="minor"/>
    </font>
    <font>
      <b/>
      <sz val="10"/>
      <color rgb="FF1B3A57"/>
      <name val="Arial"/>
      <family val="2"/>
      <scheme val="minor"/>
    </font>
    <font>
      <sz val="10"/>
      <color rgb="FF1B3A57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rgb="FF1B3A57"/>
      <name val="Arial"/>
      <family val="2"/>
    </font>
    <font>
      <sz val="10"/>
      <color rgb="FF1B3A57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E7F5"/>
        <bgColor rgb="FFD9E7F5"/>
      </patternFill>
    </fill>
    <fill>
      <patternFill patternType="solid">
        <fgColor rgb="FFEBF6FF"/>
        <bgColor rgb="FFEBF6FF"/>
      </patternFill>
    </fill>
    <fill>
      <patternFill patternType="solid">
        <fgColor theme="0"/>
        <bgColor theme="0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6993AD"/>
      </left>
      <right style="thin">
        <color rgb="FF6993AD"/>
      </right>
      <top style="thin">
        <color rgb="FF6993AD"/>
      </top>
      <bottom style="thin">
        <color rgb="FF6993AD"/>
      </bottom>
      <diagonal/>
    </border>
    <border>
      <left style="thin">
        <color rgb="FF6993AD"/>
      </left>
      <right/>
      <top style="thin">
        <color rgb="FF6993AD"/>
      </top>
      <bottom style="thin">
        <color rgb="FF6993AD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164" fontId="5" fillId="3" borderId="2" xfId="0" applyNumberFormat="1" applyFont="1" applyFill="1" applyBorder="1"/>
    <xf numFmtId="0" fontId="6" fillId="3" borderId="2" xfId="0" applyFont="1" applyFill="1" applyBorder="1"/>
    <xf numFmtId="164" fontId="6" fillId="3" borderId="2" xfId="0" applyNumberFormat="1" applyFont="1" applyFill="1" applyBorder="1"/>
    <xf numFmtId="165" fontId="6" fillId="3" borderId="2" xfId="0" applyNumberFormat="1" applyFont="1" applyFill="1" applyBorder="1"/>
    <xf numFmtId="0" fontId="7" fillId="2" borderId="3" xfId="0" applyFont="1" applyFill="1" applyBorder="1" applyAlignment="1">
      <alignment horizontal="center"/>
    </xf>
    <xf numFmtId="164" fontId="8" fillId="3" borderId="2" xfId="0" applyNumberFormat="1" applyFont="1" applyFill="1" applyBorder="1" applyAlignment="1">
      <alignment horizontal="center"/>
    </xf>
    <xf numFmtId="10" fontId="8" fillId="3" borderId="2" xfId="0" applyNumberFormat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7" fillId="2" borderId="2" xfId="0" applyFont="1" applyFill="1" applyBorder="1"/>
    <xf numFmtId="164" fontId="8" fillId="3" borderId="2" xfId="0" applyNumberFormat="1" applyFont="1" applyFill="1" applyBorder="1" applyAlignment="1">
      <alignment horizontal="right"/>
    </xf>
    <xf numFmtId="10" fontId="8" fillId="3" borderId="2" xfId="0" applyNumberFormat="1" applyFont="1" applyFill="1" applyBorder="1" applyAlignment="1">
      <alignment horizontal="right"/>
    </xf>
    <xf numFmtId="0" fontId="9" fillId="0" borderId="0" xfId="0" applyFont="1"/>
    <xf numFmtId="0" fontId="6" fillId="4" borderId="0" xfId="0" applyFont="1" applyFill="1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"/>
              </a:defRPr>
            </a:pPr>
            <a:r>
              <a:rPr lang="en-US" b="0">
                <a:solidFill>
                  <a:srgbClr val="757575"/>
                </a:solidFill>
                <a:latin typeface="Arial"/>
              </a:rPr>
              <a:t>Amount ($)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4A86E8"/>
              </a:solidFill>
              <a:ln w="9525" cmpd="sng">
                <a:solidFill>
                  <a:srgbClr val="D9E7F5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31B4-2849-9050-BFE1DD8DD0AE}"/>
              </c:ext>
            </c:extLst>
          </c:dPt>
          <c:dPt>
            <c:idx val="1"/>
            <c:bubble3D val="0"/>
            <c:spPr>
              <a:solidFill>
                <a:srgbClr val="C9DAF8"/>
              </a:solidFill>
              <a:ln w="9525" cmpd="sng">
                <a:solidFill>
                  <a:srgbClr val="D9E7F5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31B4-2849-9050-BFE1DD8DD0AE}"/>
              </c:ext>
            </c:extLst>
          </c:dPt>
          <c:dPt>
            <c:idx val="2"/>
            <c:bubble3D val="0"/>
            <c:spPr>
              <a:solidFill>
                <a:srgbClr val="A4C2F4"/>
              </a:solidFill>
              <a:ln w="9525" cmpd="sng">
                <a:solidFill>
                  <a:srgbClr val="D9E7F5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31B4-2849-9050-BFE1DD8DD0AE}"/>
              </c:ext>
            </c:extLst>
          </c:dPt>
          <c:dPt>
            <c:idx val="3"/>
            <c:bubble3D val="0"/>
            <c:spPr>
              <a:solidFill>
                <a:srgbClr val="6D9EEB"/>
              </a:solidFill>
              <a:ln w="9525" cmpd="sng">
                <a:solidFill>
                  <a:srgbClr val="D9E7F5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31B4-2849-9050-BFE1DD8DD0AE}"/>
              </c:ext>
            </c:extLst>
          </c:dPt>
          <c:dPt>
            <c:idx val="4"/>
            <c:bubble3D val="0"/>
            <c:spPr>
              <a:solidFill>
                <a:srgbClr val="3C78D8"/>
              </a:solidFill>
              <a:ln w="9525" cmpd="sng">
                <a:solidFill>
                  <a:srgbClr val="D9E7F5"/>
                </a:solidFill>
              </a:ln>
            </c:spPr>
            <c:extLst>
              <c:ext xmlns:c16="http://schemas.microsoft.com/office/drawing/2014/chart" uri="{C3380CC4-5D6E-409C-BE32-E72D297353CC}">
                <c16:uniqueId val="{00000009-31B4-2849-9050-BFE1DD8DD0AE}"/>
              </c:ext>
            </c:extLst>
          </c:dPt>
          <c:dPt>
            <c:idx val="5"/>
            <c:bubble3D val="0"/>
            <c:spPr>
              <a:solidFill>
                <a:srgbClr val="1155CC"/>
              </a:solidFill>
              <a:ln w="9525" cmpd="sng">
                <a:solidFill>
                  <a:srgbClr val="D9E7F5"/>
                </a:solidFill>
              </a:ln>
            </c:spPr>
            <c:extLst>
              <c:ext xmlns:c16="http://schemas.microsoft.com/office/drawing/2014/chart" uri="{C3380CC4-5D6E-409C-BE32-E72D297353CC}">
                <c16:uniqueId val="{0000000B-31B4-2849-9050-BFE1DD8DD0AE}"/>
              </c:ext>
            </c:extLst>
          </c:dPt>
          <c:dPt>
            <c:idx val="6"/>
            <c:bubble3D val="0"/>
            <c:spPr>
              <a:solidFill>
                <a:srgbClr val="6FA8DC"/>
              </a:solidFill>
              <a:ln w="9525" cmpd="sng">
                <a:solidFill>
                  <a:srgbClr val="D9E7F5"/>
                </a:solidFill>
              </a:ln>
            </c:spPr>
            <c:extLst>
              <c:ext xmlns:c16="http://schemas.microsoft.com/office/drawing/2014/chart" uri="{C3380CC4-5D6E-409C-BE32-E72D297353CC}">
                <c16:uniqueId val="{0000000D-31B4-2849-9050-BFE1DD8DD0AE}"/>
              </c:ext>
            </c:extLst>
          </c:dPt>
          <c:dPt>
            <c:idx val="7"/>
            <c:bubble3D val="0"/>
            <c:spPr>
              <a:solidFill>
                <a:srgbClr val="3D85C6"/>
              </a:solidFill>
              <a:ln w="9525" cmpd="sng">
                <a:solidFill>
                  <a:srgbClr val="D9E7F5"/>
                </a:solidFill>
              </a:ln>
            </c:spPr>
            <c:extLst>
              <c:ext xmlns:c16="http://schemas.microsoft.com/office/drawing/2014/chart" uri="{C3380CC4-5D6E-409C-BE32-E72D297353CC}">
                <c16:uniqueId val="{0000000F-31B4-2849-9050-BFE1DD8DD0AE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10-31B4-2849-9050-BFE1DD8DD0AE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11-31B4-2849-9050-BFE1DD8DD0AE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12-31B4-2849-9050-BFE1DD8DD0AE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13-31B4-2849-9050-BFE1DD8DD0AE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14-31B4-2849-9050-BFE1DD8DD0AE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15-31B4-2849-9050-BFE1DD8DD0AE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16-31B4-2849-9050-BFE1DD8DD0AE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017-31B4-2849-9050-BFE1DD8DD0AE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018-31B4-2849-9050-BFE1DD8DD0AE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019-31B4-2849-9050-BFE1DD8DD0AE}"/>
              </c:ext>
            </c:extLst>
          </c:dPt>
          <c:dPt>
            <c:idx val="18"/>
            <c:bubble3D val="0"/>
            <c:extLst>
              <c:ext xmlns:c16="http://schemas.microsoft.com/office/drawing/2014/chart" uri="{C3380CC4-5D6E-409C-BE32-E72D297353CC}">
                <c16:uniqueId val="{0000001A-31B4-2849-9050-BFE1DD8DD0AE}"/>
              </c:ext>
            </c:extLst>
          </c:dPt>
          <c:dPt>
            <c:idx val="19"/>
            <c:bubble3D val="0"/>
            <c:extLst>
              <c:ext xmlns:c16="http://schemas.microsoft.com/office/drawing/2014/chart" uri="{C3380CC4-5D6E-409C-BE32-E72D297353CC}">
                <c16:uniqueId val="{0000001B-31B4-2849-9050-BFE1DD8DD0AE}"/>
              </c:ext>
            </c:extLst>
          </c:dPt>
          <c:dPt>
            <c:idx val="20"/>
            <c:bubble3D val="0"/>
            <c:extLst>
              <c:ext xmlns:c16="http://schemas.microsoft.com/office/drawing/2014/chart" uri="{C3380CC4-5D6E-409C-BE32-E72D297353CC}">
                <c16:uniqueId val="{0000001C-31B4-2849-9050-BFE1DD8DD0AE}"/>
              </c:ext>
            </c:extLst>
          </c:dPt>
          <c:dPt>
            <c:idx val="21"/>
            <c:bubble3D val="0"/>
            <c:extLst>
              <c:ext xmlns:c16="http://schemas.microsoft.com/office/drawing/2014/chart" uri="{C3380CC4-5D6E-409C-BE32-E72D297353CC}">
                <c16:uniqueId val="{0000001D-31B4-2849-9050-BFE1DD8DD0AE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Jan!$A$10:$A$30</c:f>
              <c:strCache>
                <c:ptCount val="7"/>
                <c:pt idx="0">
                  <c:v>Phone Bill</c:v>
                </c:pt>
                <c:pt idx="1">
                  <c:v>Savings</c:v>
                </c:pt>
                <c:pt idx="2">
                  <c:v>Subscriptions</c:v>
                </c:pt>
                <c:pt idx="3">
                  <c:v>Gas</c:v>
                </c:pt>
                <c:pt idx="4">
                  <c:v>Insurance</c:v>
                </c:pt>
                <c:pt idx="5">
                  <c:v>Entertainment</c:v>
                </c:pt>
                <c:pt idx="6">
                  <c:v>Groceries</c:v>
                </c:pt>
              </c:strCache>
            </c:strRef>
          </c:cat>
          <c:val>
            <c:numRef>
              <c:f>Jan!$E$10:$E$31</c:f>
              <c:numCache>
                <c:formatCode>"$"#,##0.00</c:formatCode>
                <c:ptCount val="22"/>
                <c:pt idx="0">
                  <c:v>50</c:v>
                </c:pt>
                <c:pt idx="1">
                  <c:v>2500</c:v>
                </c:pt>
                <c:pt idx="2">
                  <c:v>60</c:v>
                </c:pt>
                <c:pt idx="3">
                  <c:v>240</c:v>
                </c:pt>
                <c:pt idx="4">
                  <c:v>250</c:v>
                </c:pt>
                <c:pt idx="5">
                  <c:v>300</c:v>
                </c:pt>
                <c:pt idx="6">
                  <c:v>230.68</c:v>
                </c:pt>
                <c:pt idx="21">
                  <c:v>3630.68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31B4-2849-9050-BFE1DD8DD0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>
        <a:alpha val="0"/>
      </a:srgbClr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"/>
              </a:defRPr>
            </a:pPr>
            <a:r>
              <a:rPr lang="en-US" b="0">
                <a:solidFill>
                  <a:srgbClr val="757575"/>
                </a:solidFill>
                <a:latin typeface="Arial"/>
              </a:rPr>
              <a:t>Amount ($)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4A86E8"/>
              </a:solidFill>
              <a:ln w="9525" cmpd="sng">
                <a:solidFill>
                  <a:srgbClr val="D9E7F5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4419-9D40-9E75-35DA29D1BE92}"/>
              </c:ext>
            </c:extLst>
          </c:dPt>
          <c:dPt>
            <c:idx val="1"/>
            <c:bubble3D val="0"/>
            <c:spPr>
              <a:solidFill>
                <a:srgbClr val="C9DAF8"/>
              </a:solidFill>
              <a:ln w="9525" cmpd="sng">
                <a:solidFill>
                  <a:srgbClr val="D9E7F5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4419-9D40-9E75-35DA29D1BE92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4-4419-9D40-9E75-35DA29D1BE92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5-4419-9D40-9E75-35DA29D1BE92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6-4419-9D40-9E75-35DA29D1BE92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7-4419-9D40-9E75-35DA29D1BE92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8-4419-9D40-9E75-35DA29D1BE92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09-4419-9D40-9E75-35DA29D1BE92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0A-4419-9D40-9E75-35DA29D1BE92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0B-4419-9D40-9E75-35DA29D1BE92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0C-4419-9D40-9E75-35DA29D1BE92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0D-4419-9D40-9E75-35DA29D1BE92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0E-4419-9D40-9E75-35DA29D1BE92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0F-4419-9D40-9E75-35DA29D1BE92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10-4419-9D40-9E75-35DA29D1BE92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011-4419-9D40-9E75-35DA29D1BE92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012-4419-9D40-9E75-35DA29D1BE92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013-4419-9D40-9E75-35DA29D1BE92}"/>
              </c:ext>
            </c:extLst>
          </c:dPt>
          <c:dPt>
            <c:idx val="18"/>
            <c:bubble3D val="0"/>
            <c:extLst>
              <c:ext xmlns:c16="http://schemas.microsoft.com/office/drawing/2014/chart" uri="{C3380CC4-5D6E-409C-BE32-E72D297353CC}">
                <c16:uniqueId val="{00000014-4419-9D40-9E75-35DA29D1BE92}"/>
              </c:ext>
            </c:extLst>
          </c:dPt>
          <c:dPt>
            <c:idx val="19"/>
            <c:bubble3D val="0"/>
            <c:extLst>
              <c:ext xmlns:c16="http://schemas.microsoft.com/office/drawing/2014/chart" uri="{C3380CC4-5D6E-409C-BE32-E72D297353CC}">
                <c16:uniqueId val="{00000015-4419-9D40-9E75-35DA29D1BE92}"/>
              </c:ext>
            </c:extLst>
          </c:dPt>
          <c:dPt>
            <c:idx val="20"/>
            <c:bubble3D val="0"/>
            <c:extLst>
              <c:ext xmlns:c16="http://schemas.microsoft.com/office/drawing/2014/chart" uri="{C3380CC4-5D6E-409C-BE32-E72D297353CC}">
                <c16:uniqueId val="{00000016-4419-9D40-9E75-35DA29D1BE92}"/>
              </c:ext>
            </c:extLst>
          </c:dPt>
          <c:dPt>
            <c:idx val="21"/>
            <c:bubble3D val="0"/>
            <c:extLst>
              <c:ext xmlns:c16="http://schemas.microsoft.com/office/drawing/2014/chart" uri="{C3380CC4-5D6E-409C-BE32-E72D297353CC}">
                <c16:uniqueId val="{00000017-4419-9D40-9E75-35DA29D1BE92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numRef>
              <c:f>Feb!$A$10:$A$30</c:f>
              <c:numCache>
                <c:formatCode>General</c:formatCode>
                <c:ptCount val="21"/>
              </c:numCache>
            </c:numRef>
          </c:cat>
          <c:val>
            <c:numRef>
              <c:f>Feb!$E$10:$E$31</c:f>
              <c:numCache>
                <c:formatCode>"$"#,##0.00</c:formatCode>
                <c:ptCount val="22"/>
                <c:pt idx="0">
                  <c:v>0.01</c:v>
                </c:pt>
                <c:pt idx="21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419-9D40-9E75-35DA29D1BE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>
        <a:alpha val="0"/>
      </a:srgbClr>
    </a:solid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"/>
              </a:defRPr>
            </a:pPr>
            <a:r>
              <a:rPr lang="en-US" b="0">
                <a:solidFill>
                  <a:srgbClr val="757575"/>
                </a:solidFill>
                <a:latin typeface="Arial"/>
              </a:rPr>
              <a:t>Amount ($)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4A86E8"/>
              </a:solidFill>
              <a:ln w="9525" cmpd="sng">
                <a:solidFill>
                  <a:srgbClr val="D9E7F5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1BBA-F84B-9A58-1D0D66C39A99}"/>
              </c:ext>
            </c:extLst>
          </c:dPt>
          <c:dPt>
            <c:idx val="1"/>
            <c:bubble3D val="0"/>
            <c:spPr>
              <a:solidFill>
                <a:srgbClr val="C9DAF8"/>
              </a:solidFill>
              <a:ln w="9525" cmpd="sng">
                <a:solidFill>
                  <a:srgbClr val="D9E7F5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1BBA-F84B-9A58-1D0D66C39A99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4-1BBA-F84B-9A58-1D0D66C39A99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5-1BBA-F84B-9A58-1D0D66C39A99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6-1BBA-F84B-9A58-1D0D66C39A99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7-1BBA-F84B-9A58-1D0D66C39A99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8-1BBA-F84B-9A58-1D0D66C39A99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09-1BBA-F84B-9A58-1D0D66C39A99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0A-1BBA-F84B-9A58-1D0D66C39A99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0B-1BBA-F84B-9A58-1D0D66C39A99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0C-1BBA-F84B-9A58-1D0D66C39A99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0D-1BBA-F84B-9A58-1D0D66C39A99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0E-1BBA-F84B-9A58-1D0D66C39A99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0F-1BBA-F84B-9A58-1D0D66C39A99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10-1BBA-F84B-9A58-1D0D66C39A99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011-1BBA-F84B-9A58-1D0D66C39A99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012-1BBA-F84B-9A58-1D0D66C39A99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013-1BBA-F84B-9A58-1D0D66C39A99}"/>
              </c:ext>
            </c:extLst>
          </c:dPt>
          <c:dPt>
            <c:idx val="18"/>
            <c:bubble3D val="0"/>
            <c:extLst>
              <c:ext xmlns:c16="http://schemas.microsoft.com/office/drawing/2014/chart" uri="{C3380CC4-5D6E-409C-BE32-E72D297353CC}">
                <c16:uniqueId val="{00000014-1BBA-F84B-9A58-1D0D66C39A99}"/>
              </c:ext>
            </c:extLst>
          </c:dPt>
          <c:dPt>
            <c:idx val="19"/>
            <c:bubble3D val="0"/>
            <c:extLst>
              <c:ext xmlns:c16="http://schemas.microsoft.com/office/drawing/2014/chart" uri="{C3380CC4-5D6E-409C-BE32-E72D297353CC}">
                <c16:uniqueId val="{00000015-1BBA-F84B-9A58-1D0D66C39A99}"/>
              </c:ext>
            </c:extLst>
          </c:dPt>
          <c:dPt>
            <c:idx val="20"/>
            <c:bubble3D val="0"/>
            <c:extLst>
              <c:ext xmlns:c16="http://schemas.microsoft.com/office/drawing/2014/chart" uri="{C3380CC4-5D6E-409C-BE32-E72D297353CC}">
                <c16:uniqueId val="{00000016-1BBA-F84B-9A58-1D0D66C39A99}"/>
              </c:ext>
            </c:extLst>
          </c:dPt>
          <c:dPt>
            <c:idx val="21"/>
            <c:bubble3D val="0"/>
            <c:extLst>
              <c:ext xmlns:c16="http://schemas.microsoft.com/office/drawing/2014/chart" uri="{C3380CC4-5D6E-409C-BE32-E72D297353CC}">
                <c16:uniqueId val="{00000017-1BBA-F84B-9A58-1D0D66C39A99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numRef>
              <c:f>Mar!$A$10:$A$30</c:f>
              <c:numCache>
                <c:formatCode>General</c:formatCode>
                <c:ptCount val="21"/>
              </c:numCache>
            </c:numRef>
          </c:cat>
          <c:val>
            <c:numRef>
              <c:f>Mar!$E$10:$E$31</c:f>
              <c:numCache>
                <c:formatCode>"$"#,##0.00</c:formatCode>
                <c:ptCount val="22"/>
                <c:pt idx="0">
                  <c:v>0.01</c:v>
                </c:pt>
                <c:pt idx="21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BBA-F84B-9A58-1D0D66C39A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>
        <a:alpha val="0"/>
      </a:srgbClr>
    </a:solidFill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"/>
              </a:defRPr>
            </a:pPr>
            <a:r>
              <a:rPr lang="en-US" b="0">
                <a:solidFill>
                  <a:srgbClr val="757575"/>
                </a:solidFill>
                <a:latin typeface="Arial"/>
              </a:rPr>
              <a:t>Amount ($)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4A86E8"/>
              </a:solidFill>
              <a:ln w="9525" cmpd="sng">
                <a:solidFill>
                  <a:srgbClr val="D9E7F5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BCD5-DB44-9A31-F741E33882FA}"/>
              </c:ext>
            </c:extLst>
          </c:dPt>
          <c:dPt>
            <c:idx val="1"/>
            <c:bubble3D val="0"/>
            <c:spPr>
              <a:solidFill>
                <a:srgbClr val="C9DAF8"/>
              </a:solidFill>
              <a:ln w="9525" cmpd="sng">
                <a:solidFill>
                  <a:srgbClr val="D9E7F5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BCD5-DB44-9A31-F741E33882FA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4-BCD5-DB44-9A31-F741E33882FA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5-BCD5-DB44-9A31-F741E33882FA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6-BCD5-DB44-9A31-F741E33882FA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7-BCD5-DB44-9A31-F741E33882FA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8-BCD5-DB44-9A31-F741E33882FA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09-BCD5-DB44-9A31-F741E33882FA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0A-BCD5-DB44-9A31-F741E33882FA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0B-BCD5-DB44-9A31-F741E33882FA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0C-BCD5-DB44-9A31-F741E33882FA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0D-BCD5-DB44-9A31-F741E33882FA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0E-BCD5-DB44-9A31-F741E33882FA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0F-BCD5-DB44-9A31-F741E33882FA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10-BCD5-DB44-9A31-F741E33882FA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011-BCD5-DB44-9A31-F741E33882FA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012-BCD5-DB44-9A31-F741E33882FA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013-BCD5-DB44-9A31-F741E33882FA}"/>
              </c:ext>
            </c:extLst>
          </c:dPt>
          <c:dPt>
            <c:idx val="18"/>
            <c:bubble3D val="0"/>
            <c:extLst>
              <c:ext xmlns:c16="http://schemas.microsoft.com/office/drawing/2014/chart" uri="{C3380CC4-5D6E-409C-BE32-E72D297353CC}">
                <c16:uniqueId val="{00000014-BCD5-DB44-9A31-F741E33882FA}"/>
              </c:ext>
            </c:extLst>
          </c:dPt>
          <c:dPt>
            <c:idx val="19"/>
            <c:bubble3D val="0"/>
            <c:extLst>
              <c:ext xmlns:c16="http://schemas.microsoft.com/office/drawing/2014/chart" uri="{C3380CC4-5D6E-409C-BE32-E72D297353CC}">
                <c16:uniqueId val="{00000015-BCD5-DB44-9A31-F741E33882FA}"/>
              </c:ext>
            </c:extLst>
          </c:dPt>
          <c:dPt>
            <c:idx val="20"/>
            <c:bubble3D val="0"/>
            <c:extLst>
              <c:ext xmlns:c16="http://schemas.microsoft.com/office/drawing/2014/chart" uri="{C3380CC4-5D6E-409C-BE32-E72D297353CC}">
                <c16:uniqueId val="{00000016-BCD5-DB44-9A31-F741E33882FA}"/>
              </c:ext>
            </c:extLst>
          </c:dPt>
          <c:dPt>
            <c:idx val="21"/>
            <c:bubble3D val="0"/>
            <c:extLst>
              <c:ext xmlns:c16="http://schemas.microsoft.com/office/drawing/2014/chart" uri="{C3380CC4-5D6E-409C-BE32-E72D297353CC}">
                <c16:uniqueId val="{00000017-BCD5-DB44-9A31-F741E33882FA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numRef>
              <c:f>Apr!$A$10:$A$30</c:f>
              <c:numCache>
                <c:formatCode>General</c:formatCode>
                <c:ptCount val="21"/>
              </c:numCache>
            </c:numRef>
          </c:cat>
          <c:val>
            <c:numRef>
              <c:f>Apr!$E$10:$E$31</c:f>
              <c:numCache>
                <c:formatCode>"$"#,##0.00</c:formatCode>
                <c:ptCount val="22"/>
                <c:pt idx="0">
                  <c:v>0.01</c:v>
                </c:pt>
                <c:pt idx="21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CD5-DB44-9A31-F741E33882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>
        <a:alpha val="0"/>
      </a:srgbClr>
    </a:solidFill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"/>
              </a:defRPr>
            </a:pPr>
            <a:r>
              <a:rPr lang="en-US" b="0">
                <a:solidFill>
                  <a:srgbClr val="757575"/>
                </a:solidFill>
                <a:latin typeface="Arial"/>
              </a:rPr>
              <a:t>Amount ($)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4A86E8"/>
              </a:solidFill>
              <a:ln w="9525" cmpd="sng">
                <a:solidFill>
                  <a:srgbClr val="D9E7F5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E26E-9743-A577-3FEE1EF74978}"/>
              </c:ext>
            </c:extLst>
          </c:dPt>
          <c:dPt>
            <c:idx val="1"/>
            <c:bubble3D val="0"/>
            <c:spPr>
              <a:solidFill>
                <a:srgbClr val="C9DAF8"/>
              </a:solidFill>
              <a:ln w="9525" cmpd="sng">
                <a:solidFill>
                  <a:srgbClr val="D9E7F5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E26E-9743-A577-3FEE1EF74978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4-E26E-9743-A577-3FEE1EF74978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5-E26E-9743-A577-3FEE1EF74978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6-E26E-9743-A577-3FEE1EF74978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7-E26E-9743-A577-3FEE1EF74978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8-E26E-9743-A577-3FEE1EF74978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09-E26E-9743-A577-3FEE1EF74978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0A-E26E-9743-A577-3FEE1EF74978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0B-E26E-9743-A577-3FEE1EF74978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0C-E26E-9743-A577-3FEE1EF74978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0D-E26E-9743-A577-3FEE1EF74978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0E-E26E-9743-A577-3FEE1EF74978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0F-E26E-9743-A577-3FEE1EF74978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10-E26E-9743-A577-3FEE1EF74978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011-E26E-9743-A577-3FEE1EF74978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012-E26E-9743-A577-3FEE1EF74978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013-E26E-9743-A577-3FEE1EF74978}"/>
              </c:ext>
            </c:extLst>
          </c:dPt>
          <c:dPt>
            <c:idx val="18"/>
            <c:bubble3D val="0"/>
            <c:extLst>
              <c:ext xmlns:c16="http://schemas.microsoft.com/office/drawing/2014/chart" uri="{C3380CC4-5D6E-409C-BE32-E72D297353CC}">
                <c16:uniqueId val="{00000014-E26E-9743-A577-3FEE1EF74978}"/>
              </c:ext>
            </c:extLst>
          </c:dPt>
          <c:dPt>
            <c:idx val="19"/>
            <c:bubble3D val="0"/>
            <c:extLst>
              <c:ext xmlns:c16="http://schemas.microsoft.com/office/drawing/2014/chart" uri="{C3380CC4-5D6E-409C-BE32-E72D297353CC}">
                <c16:uniqueId val="{00000015-E26E-9743-A577-3FEE1EF74978}"/>
              </c:ext>
            </c:extLst>
          </c:dPt>
          <c:dPt>
            <c:idx val="20"/>
            <c:bubble3D val="0"/>
            <c:extLst>
              <c:ext xmlns:c16="http://schemas.microsoft.com/office/drawing/2014/chart" uri="{C3380CC4-5D6E-409C-BE32-E72D297353CC}">
                <c16:uniqueId val="{00000016-E26E-9743-A577-3FEE1EF74978}"/>
              </c:ext>
            </c:extLst>
          </c:dPt>
          <c:dPt>
            <c:idx val="21"/>
            <c:bubble3D val="0"/>
            <c:extLst>
              <c:ext xmlns:c16="http://schemas.microsoft.com/office/drawing/2014/chart" uri="{C3380CC4-5D6E-409C-BE32-E72D297353CC}">
                <c16:uniqueId val="{00000017-E26E-9743-A577-3FEE1EF74978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numRef>
              <c:f>May!$A$10:$A$30</c:f>
              <c:numCache>
                <c:formatCode>General</c:formatCode>
                <c:ptCount val="21"/>
              </c:numCache>
            </c:numRef>
          </c:cat>
          <c:val>
            <c:numRef>
              <c:f>May!$E$10:$E$31</c:f>
              <c:numCache>
                <c:formatCode>"$"#,##0.00</c:formatCode>
                <c:ptCount val="22"/>
                <c:pt idx="0">
                  <c:v>0.01</c:v>
                </c:pt>
                <c:pt idx="21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26E-9743-A577-3FEE1EF749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>
        <a:alpha val="0"/>
      </a:srgbClr>
    </a:solidFill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"/>
              </a:defRPr>
            </a:pPr>
            <a:r>
              <a:rPr lang="en-US" b="0">
                <a:solidFill>
                  <a:srgbClr val="757575"/>
                </a:solidFill>
                <a:latin typeface="Arial"/>
              </a:rPr>
              <a:t>Amount ($)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4A86E8"/>
              </a:solidFill>
              <a:ln w="9525" cmpd="sng">
                <a:solidFill>
                  <a:srgbClr val="D9E7F5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8EC9-E04D-B1E1-9222CD9CBE59}"/>
              </c:ext>
            </c:extLst>
          </c:dPt>
          <c:dPt>
            <c:idx val="1"/>
            <c:bubble3D val="0"/>
            <c:spPr>
              <a:solidFill>
                <a:srgbClr val="C9DAF8"/>
              </a:solidFill>
              <a:ln w="9525" cmpd="sng">
                <a:solidFill>
                  <a:srgbClr val="D9E7F5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8EC9-E04D-B1E1-9222CD9CBE59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4-8EC9-E04D-B1E1-9222CD9CBE59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5-8EC9-E04D-B1E1-9222CD9CBE59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6-8EC9-E04D-B1E1-9222CD9CBE59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7-8EC9-E04D-B1E1-9222CD9CBE59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8-8EC9-E04D-B1E1-9222CD9CBE59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09-8EC9-E04D-B1E1-9222CD9CBE59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0A-8EC9-E04D-B1E1-9222CD9CBE59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0B-8EC9-E04D-B1E1-9222CD9CBE59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0C-8EC9-E04D-B1E1-9222CD9CBE59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0D-8EC9-E04D-B1E1-9222CD9CBE59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0E-8EC9-E04D-B1E1-9222CD9CBE59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0F-8EC9-E04D-B1E1-9222CD9CBE59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10-8EC9-E04D-B1E1-9222CD9CBE59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011-8EC9-E04D-B1E1-9222CD9CBE59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012-8EC9-E04D-B1E1-9222CD9CBE59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013-8EC9-E04D-B1E1-9222CD9CBE59}"/>
              </c:ext>
            </c:extLst>
          </c:dPt>
          <c:dPt>
            <c:idx val="18"/>
            <c:bubble3D val="0"/>
            <c:extLst>
              <c:ext xmlns:c16="http://schemas.microsoft.com/office/drawing/2014/chart" uri="{C3380CC4-5D6E-409C-BE32-E72D297353CC}">
                <c16:uniqueId val="{00000014-8EC9-E04D-B1E1-9222CD9CBE59}"/>
              </c:ext>
            </c:extLst>
          </c:dPt>
          <c:dPt>
            <c:idx val="19"/>
            <c:bubble3D val="0"/>
            <c:extLst>
              <c:ext xmlns:c16="http://schemas.microsoft.com/office/drawing/2014/chart" uri="{C3380CC4-5D6E-409C-BE32-E72D297353CC}">
                <c16:uniqueId val="{00000015-8EC9-E04D-B1E1-9222CD9CBE59}"/>
              </c:ext>
            </c:extLst>
          </c:dPt>
          <c:dPt>
            <c:idx val="20"/>
            <c:bubble3D val="0"/>
            <c:extLst>
              <c:ext xmlns:c16="http://schemas.microsoft.com/office/drawing/2014/chart" uri="{C3380CC4-5D6E-409C-BE32-E72D297353CC}">
                <c16:uniqueId val="{00000016-8EC9-E04D-B1E1-9222CD9CBE59}"/>
              </c:ext>
            </c:extLst>
          </c:dPt>
          <c:dPt>
            <c:idx val="21"/>
            <c:bubble3D val="0"/>
            <c:extLst>
              <c:ext xmlns:c16="http://schemas.microsoft.com/office/drawing/2014/chart" uri="{C3380CC4-5D6E-409C-BE32-E72D297353CC}">
                <c16:uniqueId val="{00000017-8EC9-E04D-B1E1-9222CD9CBE59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numRef>
              <c:f>June!$A$10:$A$30</c:f>
              <c:numCache>
                <c:formatCode>General</c:formatCode>
                <c:ptCount val="21"/>
              </c:numCache>
            </c:numRef>
          </c:cat>
          <c:val>
            <c:numRef>
              <c:f>June!$E$10:$E$31</c:f>
              <c:numCache>
                <c:formatCode>"$"#,##0.00</c:formatCode>
                <c:ptCount val="22"/>
                <c:pt idx="0">
                  <c:v>0.01</c:v>
                </c:pt>
                <c:pt idx="21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EC9-E04D-B1E1-9222CD9CBE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>
        <a:alpha val="0"/>
      </a:srgbClr>
    </a:solidFill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"/>
              </a:defRPr>
            </a:pPr>
            <a:r>
              <a:rPr lang="en-US" b="0">
                <a:solidFill>
                  <a:srgbClr val="757575"/>
                </a:solidFill>
                <a:latin typeface="Arial"/>
              </a:rPr>
              <a:t>Amount ($)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4A86E8"/>
              </a:solidFill>
              <a:ln w="9525" cmpd="sng">
                <a:solidFill>
                  <a:srgbClr val="D9E7F5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3562-F04A-9C50-DAC8D97A3FF6}"/>
              </c:ext>
            </c:extLst>
          </c:dPt>
          <c:dPt>
            <c:idx val="1"/>
            <c:bubble3D val="0"/>
            <c:spPr>
              <a:solidFill>
                <a:srgbClr val="C9DAF8"/>
              </a:solidFill>
              <a:ln w="9525" cmpd="sng">
                <a:solidFill>
                  <a:srgbClr val="D9E7F5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3562-F04A-9C50-DAC8D97A3FF6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4-3562-F04A-9C50-DAC8D97A3FF6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5-3562-F04A-9C50-DAC8D97A3FF6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6-3562-F04A-9C50-DAC8D97A3FF6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7-3562-F04A-9C50-DAC8D97A3FF6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8-3562-F04A-9C50-DAC8D97A3FF6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09-3562-F04A-9C50-DAC8D97A3FF6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0A-3562-F04A-9C50-DAC8D97A3FF6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0B-3562-F04A-9C50-DAC8D97A3FF6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0C-3562-F04A-9C50-DAC8D97A3FF6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0D-3562-F04A-9C50-DAC8D97A3FF6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0E-3562-F04A-9C50-DAC8D97A3FF6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0F-3562-F04A-9C50-DAC8D97A3FF6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10-3562-F04A-9C50-DAC8D97A3FF6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011-3562-F04A-9C50-DAC8D97A3FF6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012-3562-F04A-9C50-DAC8D97A3FF6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013-3562-F04A-9C50-DAC8D97A3FF6}"/>
              </c:ext>
            </c:extLst>
          </c:dPt>
          <c:dPt>
            <c:idx val="18"/>
            <c:bubble3D val="0"/>
            <c:extLst>
              <c:ext xmlns:c16="http://schemas.microsoft.com/office/drawing/2014/chart" uri="{C3380CC4-5D6E-409C-BE32-E72D297353CC}">
                <c16:uniqueId val="{00000014-3562-F04A-9C50-DAC8D97A3FF6}"/>
              </c:ext>
            </c:extLst>
          </c:dPt>
          <c:dPt>
            <c:idx val="19"/>
            <c:bubble3D val="0"/>
            <c:extLst>
              <c:ext xmlns:c16="http://schemas.microsoft.com/office/drawing/2014/chart" uri="{C3380CC4-5D6E-409C-BE32-E72D297353CC}">
                <c16:uniqueId val="{00000015-3562-F04A-9C50-DAC8D97A3FF6}"/>
              </c:ext>
            </c:extLst>
          </c:dPt>
          <c:dPt>
            <c:idx val="20"/>
            <c:bubble3D val="0"/>
            <c:extLst>
              <c:ext xmlns:c16="http://schemas.microsoft.com/office/drawing/2014/chart" uri="{C3380CC4-5D6E-409C-BE32-E72D297353CC}">
                <c16:uniqueId val="{00000016-3562-F04A-9C50-DAC8D97A3FF6}"/>
              </c:ext>
            </c:extLst>
          </c:dPt>
          <c:dPt>
            <c:idx val="21"/>
            <c:bubble3D val="0"/>
            <c:extLst>
              <c:ext xmlns:c16="http://schemas.microsoft.com/office/drawing/2014/chart" uri="{C3380CC4-5D6E-409C-BE32-E72D297353CC}">
                <c16:uniqueId val="{00000017-3562-F04A-9C50-DAC8D97A3FF6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numRef>
              <c:f>July!$A$10:$A$30</c:f>
              <c:numCache>
                <c:formatCode>General</c:formatCode>
                <c:ptCount val="21"/>
              </c:numCache>
            </c:numRef>
          </c:cat>
          <c:val>
            <c:numRef>
              <c:f>July!$E$10:$E$31</c:f>
              <c:numCache>
                <c:formatCode>"$"#,##0.00</c:formatCode>
                <c:ptCount val="22"/>
                <c:pt idx="0">
                  <c:v>0.01</c:v>
                </c:pt>
                <c:pt idx="21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562-F04A-9C50-DAC8D97A3F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>
        <a:alpha val="0"/>
      </a:srgbClr>
    </a:solidFill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"/>
              </a:defRPr>
            </a:pPr>
            <a:r>
              <a:rPr lang="en-US" b="0">
                <a:solidFill>
                  <a:srgbClr val="757575"/>
                </a:solidFill>
                <a:latin typeface="Arial"/>
              </a:rPr>
              <a:t>Amount ($)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4A86E8"/>
              </a:solidFill>
              <a:ln w="9525" cmpd="sng">
                <a:solidFill>
                  <a:srgbClr val="D9E7F5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BE27-CF43-8CB5-41219A44F812}"/>
              </c:ext>
            </c:extLst>
          </c:dPt>
          <c:dPt>
            <c:idx val="1"/>
            <c:bubble3D val="0"/>
            <c:spPr>
              <a:solidFill>
                <a:srgbClr val="C9DAF8"/>
              </a:solidFill>
              <a:ln w="9525" cmpd="sng">
                <a:solidFill>
                  <a:srgbClr val="D9E7F5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BE27-CF43-8CB5-41219A44F812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4-BE27-CF43-8CB5-41219A44F812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5-BE27-CF43-8CB5-41219A44F812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6-BE27-CF43-8CB5-41219A44F812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7-BE27-CF43-8CB5-41219A44F812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8-BE27-CF43-8CB5-41219A44F812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09-BE27-CF43-8CB5-41219A44F812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0A-BE27-CF43-8CB5-41219A44F812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0B-BE27-CF43-8CB5-41219A44F812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0C-BE27-CF43-8CB5-41219A44F812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0D-BE27-CF43-8CB5-41219A44F812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0E-BE27-CF43-8CB5-41219A44F812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0F-BE27-CF43-8CB5-41219A44F812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10-BE27-CF43-8CB5-41219A44F812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011-BE27-CF43-8CB5-41219A44F812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012-BE27-CF43-8CB5-41219A44F812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013-BE27-CF43-8CB5-41219A44F812}"/>
              </c:ext>
            </c:extLst>
          </c:dPt>
          <c:dPt>
            <c:idx val="18"/>
            <c:bubble3D val="0"/>
            <c:extLst>
              <c:ext xmlns:c16="http://schemas.microsoft.com/office/drawing/2014/chart" uri="{C3380CC4-5D6E-409C-BE32-E72D297353CC}">
                <c16:uniqueId val="{00000014-BE27-CF43-8CB5-41219A44F812}"/>
              </c:ext>
            </c:extLst>
          </c:dPt>
          <c:dPt>
            <c:idx val="19"/>
            <c:bubble3D val="0"/>
            <c:extLst>
              <c:ext xmlns:c16="http://schemas.microsoft.com/office/drawing/2014/chart" uri="{C3380CC4-5D6E-409C-BE32-E72D297353CC}">
                <c16:uniqueId val="{00000015-BE27-CF43-8CB5-41219A44F812}"/>
              </c:ext>
            </c:extLst>
          </c:dPt>
          <c:dPt>
            <c:idx val="20"/>
            <c:bubble3D val="0"/>
            <c:extLst>
              <c:ext xmlns:c16="http://schemas.microsoft.com/office/drawing/2014/chart" uri="{C3380CC4-5D6E-409C-BE32-E72D297353CC}">
                <c16:uniqueId val="{00000016-BE27-CF43-8CB5-41219A44F812}"/>
              </c:ext>
            </c:extLst>
          </c:dPt>
          <c:dPt>
            <c:idx val="21"/>
            <c:bubble3D val="0"/>
            <c:extLst>
              <c:ext xmlns:c16="http://schemas.microsoft.com/office/drawing/2014/chart" uri="{C3380CC4-5D6E-409C-BE32-E72D297353CC}">
                <c16:uniqueId val="{00000017-BE27-CF43-8CB5-41219A44F812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numRef>
              <c:f>Aug!$A$10:$A$30</c:f>
              <c:numCache>
                <c:formatCode>General</c:formatCode>
                <c:ptCount val="21"/>
              </c:numCache>
            </c:numRef>
          </c:cat>
          <c:val>
            <c:numRef>
              <c:f>Aug!$E$10:$E$31</c:f>
              <c:numCache>
                <c:formatCode>"$"#,##0.00</c:formatCode>
                <c:ptCount val="22"/>
                <c:pt idx="0">
                  <c:v>0.01</c:v>
                </c:pt>
                <c:pt idx="21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E27-CF43-8CB5-41219A44F8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>
        <a:alpha val="0"/>
      </a:srgbClr>
    </a:solidFill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"/>
              </a:defRPr>
            </a:pPr>
            <a:r>
              <a:rPr lang="en-US" sz="1000" b="0">
                <a:solidFill>
                  <a:srgbClr val="757575"/>
                </a:solidFill>
                <a:latin typeface="Arial"/>
              </a:rPr>
              <a:t>Amount ($)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4A86E8"/>
              </a:solidFill>
              <a:ln w="9525" cmpd="sng">
                <a:solidFill>
                  <a:srgbClr val="D9E7F5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1C5A-1342-B8BA-4CEABCA3E40C}"/>
              </c:ext>
            </c:extLst>
          </c:dPt>
          <c:dPt>
            <c:idx val="1"/>
            <c:bubble3D val="0"/>
            <c:spPr>
              <a:solidFill>
                <a:srgbClr val="C9DAF8"/>
              </a:solidFill>
              <a:ln w="9525" cmpd="sng">
                <a:solidFill>
                  <a:srgbClr val="D9E7F5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1C5A-1342-B8BA-4CEABCA3E40C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4-1C5A-1342-B8BA-4CEABCA3E40C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5-1C5A-1342-B8BA-4CEABCA3E40C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6-1C5A-1342-B8BA-4CEABCA3E40C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7-1C5A-1342-B8BA-4CEABCA3E40C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8-1C5A-1342-B8BA-4CEABCA3E40C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09-1C5A-1342-B8BA-4CEABCA3E40C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0A-1C5A-1342-B8BA-4CEABCA3E40C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0B-1C5A-1342-B8BA-4CEABCA3E40C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0C-1C5A-1342-B8BA-4CEABCA3E40C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0D-1C5A-1342-B8BA-4CEABCA3E40C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0E-1C5A-1342-B8BA-4CEABCA3E40C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0F-1C5A-1342-B8BA-4CEABCA3E40C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10-1C5A-1342-B8BA-4CEABCA3E40C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011-1C5A-1342-B8BA-4CEABCA3E40C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012-1C5A-1342-B8BA-4CEABCA3E40C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013-1C5A-1342-B8BA-4CEABCA3E40C}"/>
              </c:ext>
            </c:extLst>
          </c:dPt>
          <c:dPt>
            <c:idx val="18"/>
            <c:bubble3D val="0"/>
            <c:extLst>
              <c:ext xmlns:c16="http://schemas.microsoft.com/office/drawing/2014/chart" uri="{C3380CC4-5D6E-409C-BE32-E72D297353CC}">
                <c16:uniqueId val="{00000014-1C5A-1342-B8BA-4CEABCA3E40C}"/>
              </c:ext>
            </c:extLst>
          </c:dPt>
          <c:dPt>
            <c:idx val="19"/>
            <c:bubble3D val="0"/>
            <c:extLst>
              <c:ext xmlns:c16="http://schemas.microsoft.com/office/drawing/2014/chart" uri="{C3380CC4-5D6E-409C-BE32-E72D297353CC}">
                <c16:uniqueId val="{00000015-1C5A-1342-B8BA-4CEABCA3E40C}"/>
              </c:ext>
            </c:extLst>
          </c:dPt>
          <c:dPt>
            <c:idx val="20"/>
            <c:bubble3D val="0"/>
            <c:extLst>
              <c:ext xmlns:c16="http://schemas.microsoft.com/office/drawing/2014/chart" uri="{C3380CC4-5D6E-409C-BE32-E72D297353CC}">
                <c16:uniqueId val="{00000016-1C5A-1342-B8BA-4CEABCA3E40C}"/>
              </c:ext>
            </c:extLst>
          </c:dPt>
          <c:dPt>
            <c:idx val="21"/>
            <c:bubble3D val="0"/>
            <c:extLst>
              <c:ext xmlns:c16="http://schemas.microsoft.com/office/drawing/2014/chart" uri="{C3380CC4-5D6E-409C-BE32-E72D297353CC}">
                <c16:uniqueId val="{00000017-1C5A-1342-B8BA-4CEABCA3E40C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numRef>
              <c:f>Aug!$A$10:$A$30</c:f>
              <c:numCache>
                <c:formatCode>General</c:formatCode>
                <c:ptCount val="21"/>
              </c:numCache>
            </c:numRef>
          </c:cat>
          <c:val>
            <c:numRef>
              <c:f>Aug!$E$10:$E$31</c:f>
              <c:numCache>
                <c:formatCode>"$"#,##0.00</c:formatCode>
                <c:ptCount val="22"/>
                <c:pt idx="0">
                  <c:v>0.01</c:v>
                </c:pt>
                <c:pt idx="21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C5A-1342-B8BA-4CEABCA3E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>
        <a:alpha val="0"/>
      </a:srgbClr>
    </a:solidFill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"/>
              </a:defRPr>
            </a:pPr>
            <a:r>
              <a:rPr lang="en-US" b="0">
                <a:solidFill>
                  <a:srgbClr val="757575"/>
                </a:solidFill>
                <a:latin typeface="Arial"/>
              </a:rPr>
              <a:t>Amount ($)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4A86E8"/>
              </a:solidFill>
              <a:ln w="9525" cmpd="sng">
                <a:solidFill>
                  <a:srgbClr val="D9E7F5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2784-044D-8F92-77DEA55ED15D}"/>
              </c:ext>
            </c:extLst>
          </c:dPt>
          <c:dPt>
            <c:idx val="1"/>
            <c:bubble3D val="0"/>
            <c:spPr>
              <a:solidFill>
                <a:srgbClr val="C9DAF8"/>
              </a:solidFill>
              <a:ln w="9525" cmpd="sng">
                <a:solidFill>
                  <a:srgbClr val="D9E7F5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2784-044D-8F92-77DEA55ED15D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4-2784-044D-8F92-77DEA55ED15D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5-2784-044D-8F92-77DEA55ED15D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6-2784-044D-8F92-77DEA55ED15D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7-2784-044D-8F92-77DEA55ED15D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8-2784-044D-8F92-77DEA55ED15D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09-2784-044D-8F92-77DEA55ED15D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0A-2784-044D-8F92-77DEA55ED15D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0B-2784-044D-8F92-77DEA55ED15D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0C-2784-044D-8F92-77DEA55ED15D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0D-2784-044D-8F92-77DEA55ED15D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0E-2784-044D-8F92-77DEA55ED15D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0F-2784-044D-8F92-77DEA55ED15D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10-2784-044D-8F92-77DEA55ED15D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011-2784-044D-8F92-77DEA55ED15D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012-2784-044D-8F92-77DEA55ED15D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013-2784-044D-8F92-77DEA55ED15D}"/>
              </c:ext>
            </c:extLst>
          </c:dPt>
          <c:dPt>
            <c:idx val="18"/>
            <c:bubble3D val="0"/>
            <c:extLst>
              <c:ext xmlns:c16="http://schemas.microsoft.com/office/drawing/2014/chart" uri="{C3380CC4-5D6E-409C-BE32-E72D297353CC}">
                <c16:uniqueId val="{00000014-2784-044D-8F92-77DEA55ED15D}"/>
              </c:ext>
            </c:extLst>
          </c:dPt>
          <c:dPt>
            <c:idx val="19"/>
            <c:bubble3D val="0"/>
            <c:extLst>
              <c:ext xmlns:c16="http://schemas.microsoft.com/office/drawing/2014/chart" uri="{C3380CC4-5D6E-409C-BE32-E72D297353CC}">
                <c16:uniqueId val="{00000015-2784-044D-8F92-77DEA55ED15D}"/>
              </c:ext>
            </c:extLst>
          </c:dPt>
          <c:dPt>
            <c:idx val="20"/>
            <c:bubble3D val="0"/>
            <c:extLst>
              <c:ext xmlns:c16="http://schemas.microsoft.com/office/drawing/2014/chart" uri="{C3380CC4-5D6E-409C-BE32-E72D297353CC}">
                <c16:uniqueId val="{00000016-2784-044D-8F92-77DEA55ED15D}"/>
              </c:ext>
            </c:extLst>
          </c:dPt>
          <c:dPt>
            <c:idx val="21"/>
            <c:bubble3D val="0"/>
            <c:extLst>
              <c:ext xmlns:c16="http://schemas.microsoft.com/office/drawing/2014/chart" uri="{C3380CC4-5D6E-409C-BE32-E72D297353CC}">
                <c16:uniqueId val="{00000017-2784-044D-8F92-77DEA55ED15D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numRef>
              <c:f>Oct!$A$10:$A$30</c:f>
              <c:numCache>
                <c:formatCode>General</c:formatCode>
                <c:ptCount val="21"/>
              </c:numCache>
            </c:numRef>
          </c:cat>
          <c:val>
            <c:numRef>
              <c:f>Oct!$E$10:$E$31</c:f>
              <c:numCache>
                <c:formatCode>"$"#,##0.00</c:formatCode>
                <c:ptCount val="22"/>
                <c:pt idx="0">
                  <c:v>0.01</c:v>
                </c:pt>
                <c:pt idx="21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2784-044D-8F92-77DEA55ED1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>
        <a:alpha val="0"/>
      </a:srgbClr>
    </a:solidFill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"/>
              </a:defRPr>
            </a:pPr>
            <a:r>
              <a:rPr lang="en-US" b="0">
                <a:solidFill>
                  <a:srgbClr val="757575"/>
                </a:solidFill>
                <a:latin typeface="Arial"/>
              </a:rPr>
              <a:t>Amount ($)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4A86E8"/>
              </a:solidFill>
              <a:ln w="9525" cmpd="sng">
                <a:solidFill>
                  <a:srgbClr val="D9E7F5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A64C-BA4C-89BF-0F7C546F66D1}"/>
              </c:ext>
            </c:extLst>
          </c:dPt>
          <c:dPt>
            <c:idx val="1"/>
            <c:bubble3D val="0"/>
            <c:spPr>
              <a:solidFill>
                <a:srgbClr val="C9DAF8"/>
              </a:solidFill>
              <a:ln w="9525" cmpd="sng">
                <a:solidFill>
                  <a:srgbClr val="D9E7F5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A64C-BA4C-89BF-0F7C546F66D1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4-A64C-BA4C-89BF-0F7C546F66D1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5-A64C-BA4C-89BF-0F7C546F66D1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6-A64C-BA4C-89BF-0F7C546F66D1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7-A64C-BA4C-89BF-0F7C546F66D1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8-A64C-BA4C-89BF-0F7C546F66D1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09-A64C-BA4C-89BF-0F7C546F66D1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0A-A64C-BA4C-89BF-0F7C546F66D1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0B-A64C-BA4C-89BF-0F7C546F66D1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0C-A64C-BA4C-89BF-0F7C546F66D1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0D-A64C-BA4C-89BF-0F7C546F66D1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0E-A64C-BA4C-89BF-0F7C546F66D1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0F-A64C-BA4C-89BF-0F7C546F66D1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10-A64C-BA4C-89BF-0F7C546F66D1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011-A64C-BA4C-89BF-0F7C546F66D1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012-A64C-BA4C-89BF-0F7C546F66D1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013-A64C-BA4C-89BF-0F7C546F66D1}"/>
              </c:ext>
            </c:extLst>
          </c:dPt>
          <c:dPt>
            <c:idx val="18"/>
            <c:bubble3D val="0"/>
            <c:extLst>
              <c:ext xmlns:c16="http://schemas.microsoft.com/office/drawing/2014/chart" uri="{C3380CC4-5D6E-409C-BE32-E72D297353CC}">
                <c16:uniqueId val="{00000014-A64C-BA4C-89BF-0F7C546F66D1}"/>
              </c:ext>
            </c:extLst>
          </c:dPt>
          <c:dPt>
            <c:idx val="19"/>
            <c:bubble3D val="0"/>
            <c:extLst>
              <c:ext xmlns:c16="http://schemas.microsoft.com/office/drawing/2014/chart" uri="{C3380CC4-5D6E-409C-BE32-E72D297353CC}">
                <c16:uniqueId val="{00000015-A64C-BA4C-89BF-0F7C546F66D1}"/>
              </c:ext>
            </c:extLst>
          </c:dPt>
          <c:dPt>
            <c:idx val="20"/>
            <c:bubble3D val="0"/>
            <c:extLst>
              <c:ext xmlns:c16="http://schemas.microsoft.com/office/drawing/2014/chart" uri="{C3380CC4-5D6E-409C-BE32-E72D297353CC}">
                <c16:uniqueId val="{00000016-A64C-BA4C-89BF-0F7C546F66D1}"/>
              </c:ext>
            </c:extLst>
          </c:dPt>
          <c:dPt>
            <c:idx val="21"/>
            <c:bubble3D val="0"/>
            <c:extLst>
              <c:ext xmlns:c16="http://schemas.microsoft.com/office/drawing/2014/chart" uri="{C3380CC4-5D6E-409C-BE32-E72D297353CC}">
                <c16:uniqueId val="{00000017-A64C-BA4C-89BF-0F7C546F66D1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numRef>
              <c:f>Nov!$A$10:$A$30</c:f>
              <c:numCache>
                <c:formatCode>General</c:formatCode>
                <c:ptCount val="21"/>
              </c:numCache>
            </c:numRef>
          </c:cat>
          <c:val>
            <c:numRef>
              <c:f>Nov!$E$10:$E$31</c:f>
              <c:numCache>
                <c:formatCode>"$"#,##0.00</c:formatCode>
                <c:ptCount val="22"/>
                <c:pt idx="0">
                  <c:v>0.01</c:v>
                </c:pt>
                <c:pt idx="21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64C-BA4C-89BF-0F7C546F66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>
        <a:alpha val="0"/>
      </a:srgbClr>
    </a:solidFill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"/>
              </a:defRPr>
            </a:pPr>
            <a:r>
              <a:rPr lang="en-US" b="0">
                <a:solidFill>
                  <a:srgbClr val="757575"/>
                </a:solidFill>
                <a:latin typeface="Arial"/>
              </a:rPr>
              <a:t>Amount ($)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4A86E8"/>
              </a:solidFill>
              <a:ln w="9525" cmpd="sng">
                <a:solidFill>
                  <a:srgbClr val="D9E7F5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15EC-BE43-9088-AEEDF77FD4E2}"/>
              </c:ext>
            </c:extLst>
          </c:dPt>
          <c:dPt>
            <c:idx val="1"/>
            <c:bubble3D val="0"/>
            <c:spPr>
              <a:solidFill>
                <a:srgbClr val="C9DAF8"/>
              </a:solidFill>
              <a:ln w="9525" cmpd="sng">
                <a:solidFill>
                  <a:srgbClr val="D9E7F5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15EC-BE43-9088-AEEDF77FD4E2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4-15EC-BE43-9088-AEEDF77FD4E2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5-15EC-BE43-9088-AEEDF77FD4E2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6-15EC-BE43-9088-AEEDF77FD4E2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7-15EC-BE43-9088-AEEDF77FD4E2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8-15EC-BE43-9088-AEEDF77FD4E2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09-15EC-BE43-9088-AEEDF77FD4E2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0A-15EC-BE43-9088-AEEDF77FD4E2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0B-15EC-BE43-9088-AEEDF77FD4E2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0C-15EC-BE43-9088-AEEDF77FD4E2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0D-15EC-BE43-9088-AEEDF77FD4E2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0E-15EC-BE43-9088-AEEDF77FD4E2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0F-15EC-BE43-9088-AEEDF77FD4E2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10-15EC-BE43-9088-AEEDF77FD4E2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011-15EC-BE43-9088-AEEDF77FD4E2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012-15EC-BE43-9088-AEEDF77FD4E2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013-15EC-BE43-9088-AEEDF77FD4E2}"/>
              </c:ext>
            </c:extLst>
          </c:dPt>
          <c:dPt>
            <c:idx val="18"/>
            <c:bubble3D val="0"/>
            <c:extLst>
              <c:ext xmlns:c16="http://schemas.microsoft.com/office/drawing/2014/chart" uri="{C3380CC4-5D6E-409C-BE32-E72D297353CC}">
                <c16:uniqueId val="{00000014-15EC-BE43-9088-AEEDF77FD4E2}"/>
              </c:ext>
            </c:extLst>
          </c:dPt>
          <c:dPt>
            <c:idx val="19"/>
            <c:bubble3D val="0"/>
            <c:extLst>
              <c:ext xmlns:c16="http://schemas.microsoft.com/office/drawing/2014/chart" uri="{C3380CC4-5D6E-409C-BE32-E72D297353CC}">
                <c16:uniqueId val="{00000015-15EC-BE43-9088-AEEDF77FD4E2}"/>
              </c:ext>
            </c:extLst>
          </c:dPt>
          <c:dPt>
            <c:idx val="20"/>
            <c:bubble3D val="0"/>
            <c:extLst>
              <c:ext xmlns:c16="http://schemas.microsoft.com/office/drawing/2014/chart" uri="{C3380CC4-5D6E-409C-BE32-E72D297353CC}">
                <c16:uniqueId val="{00000016-15EC-BE43-9088-AEEDF77FD4E2}"/>
              </c:ext>
            </c:extLst>
          </c:dPt>
          <c:dPt>
            <c:idx val="21"/>
            <c:bubble3D val="0"/>
            <c:extLst>
              <c:ext xmlns:c16="http://schemas.microsoft.com/office/drawing/2014/chart" uri="{C3380CC4-5D6E-409C-BE32-E72D297353CC}">
                <c16:uniqueId val="{00000017-15EC-BE43-9088-AEEDF77FD4E2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numRef>
              <c:f>Dec!$A$10:$A$30</c:f>
              <c:numCache>
                <c:formatCode>General</c:formatCode>
                <c:ptCount val="21"/>
              </c:numCache>
            </c:numRef>
          </c:cat>
          <c:val>
            <c:numRef>
              <c:f>Dec!$E$10:$E$31</c:f>
              <c:numCache>
                <c:formatCode>"$"#,##0.00</c:formatCode>
                <c:ptCount val="22"/>
                <c:pt idx="0">
                  <c:v>0.01</c:v>
                </c:pt>
                <c:pt idx="21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5EC-BE43-9088-AEEDF77FD4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>
        <a:alpha val="0"/>
      </a:srgbClr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28575</xdr:colOff>
      <xdr:row>20</xdr:row>
      <xdr:rowOff>171450</xdr:rowOff>
    </xdr:from>
    <xdr:ext cx="4238625" cy="263842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28575</xdr:colOff>
      <xdr:row>20</xdr:row>
      <xdr:rowOff>171450</xdr:rowOff>
    </xdr:from>
    <xdr:ext cx="4238625" cy="2638425"/>
    <xdr:graphicFrame macro="">
      <xdr:nvGraphicFramePr>
        <xdr:cNvPr id="2" name="Chart 2" title="Amount ($)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28575</xdr:colOff>
      <xdr:row>20</xdr:row>
      <xdr:rowOff>171450</xdr:rowOff>
    </xdr:from>
    <xdr:ext cx="4238625" cy="2638425"/>
    <xdr:graphicFrame macro="">
      <xdr:nvGraphicFramePr>
        <xdr:cNvPr id="3" name="Chart 3" title="Chart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28575</xdr:colOff>
      <xdr:row>20</xdr:row>
      <xdr:rowOff>171450</xdr:rowOff>
    </xdr:from>
    <xdr:ext cx="4238625" cy="2638425"/>
    <xdr:graphicFrame macro="">
      <xdr:nvGraphicFramePr>
        <xdr:cNvPr id="4" name="Chart 4" title="Chart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28575</xdr:colOff>
      <xdr:row>20</xdr:row>
      <xdr:rowOff>171450</xdr:rowOff>
    </xdr:from>
    <xdr:ext cx="4238625" cy="2638425"/>
    <xdr:graphicFrame macro="">
      <xdr:nvGraphicFramePr>
        <xdr:cNvPr id="5" name="Chart 5" title="Chart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28575</xdr:colOff>
      <xdr:row>20</xdr:row>
      <xdr:rowOff>171450</xdr:rowOff>
    </xdr:from>
    <xdr:ext cx="4238625" cy="2638425"/>
    <xdr:graphicFrame macro="">
      <xdr:nvGraphicFramePr>
        <xdr:cNvPr id="6" name="Chart 6" title="Chart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28575</xdr:colOff>
      <xdr:row>20</xdr:row>
      <xdr:rowOff>171450</xdr:rowOff>
    </xdr:from>
    <xdr:ext cx="4238625" cy="2638425"/>
    <xdr:graphicFrame macro="">
      <xdr:nvGraphicFramePr>
        <xdr:cNvPr id="7" name="Chart 7" title="Chart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28575</xdr:colOff>
      <xdr:row>20</xdr:row>
      <xdr:rowOff>171450</xdr:rowOff>
    </xdr:from>
    <xdr:ext cx="4238625" cy="2638425"/>
    <xdr:graphicFrame macro="">
      <xdr:nvGraphicFramePr>
        <xdr:cNvPr id="8" name="Chart 8" title="Chart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38100</xdr:colOff>
      <xdr:row>21</xdr:row>
      <xdr:rowOff>0</xdr:rowOff>
    </xdr:from>
    <xdr:ext cx="4238625" cy="2638425"/>
    <xdr:graphicFrame macro="">
      <xdr:nvGraphicFramePr>
        <xdr:cNvPr id="2" name="Chart 8" title="Chart">
          <a:extLst>
            <a:ext uri="{FF2B5EF4-FFF2-40B4-BE49-F238E27FC236}">
              <a16:creationId xmlns:a16="http://schemas.microsoft.com/office/drawing/2014/main" id="{FE429440-2299-4F4A-900B-4A8E804087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28575</xdr:colOff>
      <xdr:row>20</xdr:row>
      <xdr:rowOff>171450</xdr:rowOff>
    </xdr:from>
    <xdr:ext cx="4238625" cy="2638425"/>
    <xdr:graphicFrame macro="">
      <xdr:nvGraphicFramePr>
        <xdr:cNvPr id="9" name="Chart 9" title="Chart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28575</xdr:colOff>
      <xdr:row>20</xdr:row>
      <xdr:rowOff>171450</xdr:rowOff>
    </xdr:from>
    <xdr:ext cx="4238625" cy="2638425"/>
    <xdr:graphicFrame macro="">
      <xdr:nvGraphicFramePr>
        <xdr:cNvPr id="10" name="Chart 10" title="Chart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28575</xdr:colOff>
      <xdr:row>20</xdr:row>
      <xdr:rowOff>171450</xdr:rowOff>
    </xdr:from>
    <xdr:ext cx="4238625" cy="2638425"/>
    <xdr:graphicFrame macro="">
      <xdr:nvGraphicFramePr>
        <xdr:cNvPr id="11" name="Chart 11" title="Chart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C78D8"/>
    <outlinePr summaryBelow="0" summaryRight="0"/>
  </sheetPr>
  <dimension ref="A1:AA37"/>
  <sheetViews>
    <sheetView showGridLines="0" workbookViewId="0">
      <pane ySplit="1" topLeftCell="A2" activePane="bottomLeft" state="frozen"/>
      <selection pane="bottomLeft" activeCell="K8" sqref="K8"/>
    </sheetView>
  </sheetViews>
  <sheetFormatPr baseColWidth="10" defaultColWidth="12.6640625" defaultRowHeight="15.75" customHeight="1" x14ac:dyDescent="0.15"/>
  <cols>
    <col min="1" max="1" width="17.6640625" customWidth="1"/>
    <col min="2" max="2" width="16.5" customWidth="1"/>
    <col min="3" max="3" width="16.6640625" customWidth="1"/>
    <col min="4" max="4" width="10.6640625" customWidth="1"/>
    <col min="5" max="5" width="15.1640625" customWidth="1"/>
    <col min="7" max="7" width="9.33203125" customWidth="1"/>
    <col min="8" max="8" width="25" customWidth="1"/>
    <col min="13" max="27" width="12.6640625" hidden="1"/>
  </cols>
  <sheetData>
    <row r="1" spans="1:12" ht="27" customHeight="1" x14ac:dyDescent="0.35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3" spans="1:12" ht="15.75" customHeight="1" x14ac:dyDescent="0.15">
      <c r="A3" s="1" t="s">
        <v>1</v>
      </c>
      <c r="B3" s="2" t="s">
        <v>2</v>
      </c>
      <c r="C3" s="2" t="s">
        <v>3</v>
      </c>
      <c r="H3" s="2" t="s">
        <v>4</v>
      </c>
      <c r="I3" s="3">
        <f>SUMIF(D10:D30, "Fixed", E10:E30)</f>
        <v>360</v>
      </c>
    </row>
    <row r="4" spans="1:12" ht="15.75" customHeight="1" x14ac:dyDescent="0.15">
      <c r="A4" s="4" t="s">
        <v>5</v>
      </c>
      <c r="B4" s="5">
        <v>3000</v>
      </c>
      <c r="C4" s="6"/>
      <c r="E4" s="7" t="s">
        <v>6</v>
      </c>
      <c r="F4" s="8">
        <f>B7-E31</f>
        <v>1369.3200000000002</v>
      </c>
      <c r="H4" s="2" t="s">
        <v>7</v>
      </c>
      <c r="I4" s="3">
        <f>SUMIF(D10:D30, "Variable", E10:E30)</f>
        <v>3270.68</v>
      </c>
    </row>
    <row r="5" spans="1:12" ht="15.75" customHeight="1" x14ac:dyDescent="0.15">
      <c r="A5" s="4" t="s">
        <v>8</v>
      </c>
      <c r="B5" s="5">
        <v>1500</v>
      </c>
      <c r="C5" s="6"/>
      <c r="E5" s="7" t="s">
        <v>9</v>
      </c>
      <c r="F5" s="9">
        <f>IF(B7=0,0,F4/B7)</f>
        <v>0.27386400000000005</v>
      </c>
      <c r="H5" s="2" t="s">
        <v>10</v>
      </c>
      <c r="I5" s="3">
        <f>SUM(E31:E1000)</f>
        <v>3630.68</v>
      </c>
    </row>
    <row r="6" spans="1:12" ht="15.75" customHeight="1" x14ac:dyDescent="0.15">
      <c r="A6" s="4" t="s">
        <v>11</v>
      </c>
      <c r="B6" s="5">
        <v>500</v>
      </c>
      <c r="C6" s="6"/>
    </row>
    <row r="7" spans="1:12" ht="15.75" customHeight="1" x14ac:dyDescent="0.15">
      <c r="A7" s="10" t="s">
        <v>12</v>
      </c>
      <c r="B7" s="3">
        <f>SUM(B4:B6)</f>
        <v>5000</v>
      </c>
      <c r="C7" s="6"/>
    </row>
    <row r="9" spans="1:12" ht="15.75" customHeight="1" x14ac:dyDescent="0.15">
      <c r="A9" s="2" t="s">
        <v>13</v>
      </c>
      <c r="B9" s="2" t="s">
        <v>14</v>
      </c>
      <c r="C9" s="2" t="s">
        <v>15</v>
      </c>
      <c r="D9" s="2" t="s">
        <v>16</v>
      </c>
      <c r="E9" s="2" t="s">
        <v>2</v>
      </c>
      <c r="H9" s="11" t="s">
        <v>17</v>
      </c>
      <c r="I9" s="12">
        <f>B7 * 0.3</f>
        <v>1500</v>
      </c>
    </row>
    <row r="10" spans="1:12" ht="15.75" customHeight="1" x14ac:dyDescent="0.15">
      <c r="A10" s="4" t="s">
        <v>18</v>
      </c>
      <c r="B10" s="4" t="s">
        <v>19</v>
      </c>
      <c r="C10" s="4"/>
      <c r="D10" s="5" t="s">
        <v>20</v>
      </c>
      <c r="E10" s="5">
        <v>50</v>
      </c>
      <c r="H10" s="11" t="s">
        <v>21</v>
      </c>
      <c r="I10" s="12">
        <f>SUMIF(B10:B1000, "Need", E10:E1000)</f>
        <v>770.68000000000006</v>
      </c>
    </row>
    <row r="11" spans="1:12" ht="15.75" customHeight="1" x14ac:dyDescent="0.15">
      <c r="A11" s="4" t="s">
        <v>22</v>
      </c>
      <c r="B11" s="4" t="s">
        <v>23</v>
      </c>
      <c r="C11" s="4" t="s">
        <v>24</v>
      </c>
      <c r="D11" s="5" t="s">
        <v>25</v>
      </c>
      <c r="E11" s="5">
        <v>2500</v>
      </c>
      <c r="H11" s="11" t="s">
        <v>26</v>
      </c>
      <c r="I11" s="13">
        <f>I10/ B7</f>
        <v>0.15413600000000002</v>
      </c>
    </row>
    <row r="12" spans="1:12" ht="15.75" customHeight="1" x14ac:dyDescent="0.15">
      <c r="A12" s="4" t="s">
        <v>27</v>
      </c>
      <c r="B12" s="4" t="s">
        <v>28</v>
      </c>
      <c r="C12" s="4"/>
      <c r="D12" s="5" t="s">
        <v>20</v>
      </c>
      <c r="E12" s="5">
        <v>60</v>
      </c>
      <c r="F12" s="14"/>
      <c r="H12" s="14"/>
      <c r="I12" s="14"/>
    </row>
    <row r="13" spans="1:12" ht="15.75" customHeight="1" x14ac:dyDescent="0.15">
      <c r="A13" s="4" t="s">
        <v>29</v>
      </c>
      <c r="B13" s="4" t="s">
        <v>19</v>
      </c>
      <c r="C13" s="4"/>
      <c r="D13" s="5" t="s">
        <v>25</v>
      </c>
      <c r="E13" s="5">
        <v>240</v>
      </c>
      <c r="F13" s="14"/>
      <c r="H13" s="11" t="s">
        <v>30</v>
      </c>
      <c r="I13" s="12">
        <f>B7 * 0.2</f>
        <v>1000</v>
      </c>
    </row>
    <row r="14" spans="1:12" ht="15.75" customHeight="1" x14ac:dyDescent="0.15">
      <c r="A14" s="4" t="s">
        <v>31</v>
      </c>
      <c r="B14" s="4" t="s">
        <v>19</v>
      </c>
      <c r="C14" s="4" t="s">
        <v>32</v>
      </c>
      <c r="D14" s="5" t="s">
        <v>20</v>
      </c>
      <c r="E14" s="5">
        <v>250</v>
      </c>
      <c r="F14" s="14"/>
      <c r="H14" s="11" t="s">
        <v>33</v>
      </c>
      <c r="I14" s="12">
        <f>SUMIF(B10:B1000, "Want", E10:E1000)</f>
        <v>360</v>
      </c>
    </row>
    <row r="15" spans="1:12" ht="15.75" customHeight="1" x14ac:dyDescent="0.15">
      <c r="A15" s="4" t="s">
        <v>34</v>
      </c>
      <c r="B15" s="4" t="s">
        <v>28</v>
      </c>
      <c r="C15" s="4" t="s">
        <v>35</v>
      </c>
      <c r="D15" s="5" t="s">
        <v>25</v>
      </c>
      <c r="E15" s="5">
        <v>300</v>
      </c>
      <c r="F15" s="14"/>
      <c r="H15" s="11" t="s">
        <v>26</v>
      </c>
      <c r="I15" s="13">
        <f>I14/B7</f>
        <v>7.1999999999999995E-2</v>
      </c>
    </row>
    <row r="16" spans="1:12" ht="15.75" customHeight="1" x14ac:dyDescent="0.15">
      <c r="A16" s="4" t="s">
        <v>36</v>
      </c>
      <c r="B16" s="4" t="s">
        <v>19</v>
      </c>
      <c r="C16" s="4" t="s">
        <v>37</v>
      </c>
      <c r="D16" s="5" t="s">
        <v>25</v>
      </c>
      <c r="E16" s="5">
        <v>230.68</v>
      </c>
      <c r="F16" s="14"/>
      <c r="H16" s="14"/>
      <c r="I16" s="14"/>
    </row>
    <row r="17" spans="1:9" ht="15.75" customHeight="1" x14ac:dyDescent="0.15">
      <c r="A17" s="4"/>
      <c r="B17" s="4"/>
      <c r="C17" s="4"/>
      <c r="D17" s="5"/>
      <c r="E17" s="5"/>
      <c r="F17" s="14"/>
      <c r="H17" s="11" t="s">
        <v>38</v>
      </c>
      <c r="I17" s="12">
        <f>B7 * 0.5</f>
        <v>2500</v>
      </c>
    </row>
    <row r="18" spans="1:9" ht="15.75" customHeight="1" x14ac:dyDescent="0.15">
      <c r="A18" s="4"/>
      <c r="B18" s="4"/>
      <c r="C18" s="4"/>
      <c r="D18" s="5"/>
      <c r="E18" s="5"/>
      <c r="F18" s="14"/>
      <c r="H18" s="11" t="s">
        <v>39</v>
      </c>
      <c r="I18" s="12">
        <f>SUMIF(B10:B1000, "Saving", E10:E1000)</f>
        <v>2500</v>
      </c>
    </row>
    <row r="19" spans="1:9" ht="15.75" customHeight="1" x14ac:dyDescent="0.15">
      <c r="A19" s="4"/>
      <c r="B19" s="4"/>
      <c r="C19" s="4"/>
      <c r="D19" s="5"/>
      <c r="E19" s="5"/>
      <c r="F19" s="14"/>
      <c r="H19" s="11" t="s">
        <v>26</v>
      </c>
      <c r="I19" s="13">
        <f>I18/ B7</f>
        <v>0.5</v>
      </c>
    </row>
    <row r="20" spans="1:9" ht="15.75" customHeight="1" x14ac:dyDescent="0.15">
      <c r="A20" s="4"/>
      <c r="B20" s="4"/>
      <c r="C20" s="4"/>
      <c r="D20" s="5"/>
      <c r="E20" s="5"/>
      <c r="F20" s="14"/>
      <c r="H20" s="14"/>
      <c r="I20" s="14"/>
    </row>
    <row r="21" spans="1:9" ht="15.75" customHeight="1" x14ac:dyDescent="0.15">
      <c r="A21" s="4"/>
      <c r="B21" s="4"/>
      <c r="C21" s="4"/>
      <c r="D21" s="5"/>
      <c r="E21" s="5"/>
      <c r="F21" s="14"/>
      <c r="G21" s="14"/>
      <c r="H21" s="14"/>
      <c r="I21" s="14"/>
    </row>
    <row r="22" spans="1:9" ht="15.75" customHeight="1" x14ac:dyDescent="0.15">
      <c r="A22" s="4"/>
      <c r="B22" s="4"/>
      <c r="C22" s="4"/>
      <c r="D22" s="5"/>
      <c r="E22" s="5"/>
      <c r="F22" s="14"/>
      <c r="G22" s="14"/>
      <c r="H22" s="14"/>
      <c r="I22" s="14"/>
    </row>
    <row r="23" spans="1:9" ht="15.75" customHeight="1" x14ac:dyDescent="0.15">
      <c r="A23" s="4"/>
      <c r="B23" s="4"/>
      <c r="C23" s="4"/>
      <c r="D23" s="5"/>
      <c r="E23" s="5"/>
      <c r="F23" s="14"/>
      <c r="G23" s="14"/>
      <c r="H23" s="14"/>
      <c r="I23" s="14"/>
    </row>
    <row r="24" spans="1:9" ht="15.75" customHeight="1" x14ac:dyDescent="0.15">
      <c r="A24" s="4"/>
      <c r="B24" s="4"/>
      <c r="C24" s="4"/>
      <c r="D24" s="5"/>
      <c r="E24" s="5"/>
      <c r="F24" s="14"/>
      <c r="G24" s="14"/>
      <c r="H24" s="14"/>
      <c r="I24" s="14"/>
    </row>
    <row r="25" spans="1:9" ht="15.75" customHeight="1" x14ac:dyDescent="0.15">
      <c r="A25" s="4"/>
      <c r="B25" s="4"/>
      <c r="C25" s="4"/>
      <c r="D25" s="5"/>
      <c r="E25" s="5"/>
      <c r="F25" s="14"/>
      <c r="G25" s="14"/>
      <c r="H25" s="14"/>
    </row>
    <row r="26" spans="1:9" ht="15.75" customHeight="1" x14ac:dyDescent="0.15">
      <c r="A26" s="4"/>
      <c r="B26" s="4"/>
      <c r="C26" s="4"/>
      <c r="D26" s="5"/>
      <c r="E26" s="5"/>
      <c r="F26" s="14"/>
      <c r="H26" s="14"/>
    </row>
    <row r="27" spans="1:9" ht="15.75" customHeight="1" x14ac:dyDescent="0.15">
      <c r="A27" s="4"/>
      <c r="B27" s="4"/>
      <c r="C27" s="4"/>
      <c r="D27" s="5"/>
      <c r="E27" s="5"/>
      <c r="F27" s="14"/>
    </row>
    <row r="28" spans="1:9" ht="15.75" customHeight="1" x14ac:dyDescent="0.15">
      <c r="A28" s="4"/>
      <c r="B28" s="4"/>
      <c r="C28" s="4"/>
      <c r="D28" s="5"/>
      <c r="E28" s="5"/>
    </row>
    <row r="29" spans="1:9" ht="15.75" customHeight="1" x14ac:dyDescent="0.15">
      <c r="A29" s="4"/>
      <c r="B29" s="4"/>
      <c r="C29" s="4"/>
      <c r="D29" s="5"/>
      <c r="E29" s="5"/>
    </row>
    <row r="30" spans="1:9" ht="15.75" customHeight="1" x14ac:dyDescent="0.15">
      <c r="A30" s="4"/>
      <c r="B30" s="4"/>
      <c r="C30" s="4"/>
      <c r="D30" s="5"/>
      <c r="E30" s="5"/>
    </row>
    <row r="31" spans="1:9" ht="15.75" customHeight="1" x14ac:dyDescent="0.15">
      <c r="A31" s="10" t="s">
        <v>40</v>
      </c>
      <c r="B31" s="4"/>
      <c r="C31" s="4"/>
      <c r="D31" s="5"/>
      <c r="E31" s="3">
        <f>SUM(E10:E30)</f>
        <v>3630.68</v>
      </c>
    </row>
    <row r="37" spans="9:9" ht="15.75" customHeight="1" x14ac:dyDescent="0.15">
      <c r="I37" s="15"/>
    </row>
  </sheetData>
  <mergeCells count="1">
    <mergeCell ref="A1:L1"/>
  </mergeCells>
  <dataValidations count="4">
    <dataValidation type="list" allowBlank="1" showErrorMessage="1" sqref="A4:A6" xr:uid="{00000000-0002-0000-0000-000000000000}">
      <formula1>"Salary,Other,VA"</formula1>
    </dataValidation>
    <dataValidation type="list" allowBlank="1" showErrorMessage="1" sqref="B10:B30" xr:uid="{00000000-0002-0000-0000-000001000000}">
      <formula1>"Need,Want,Saving"</formula1>
    </dataValidation>
    <dataValidation type="list" allowBlank="1" showErrorMessage="1" sqref="A10:A30" xr:uid="{00000000-0002-0000-0000-000002000000}">
      <formula1>"Rent,Phone Bill,Wifi,Insurance,Subscriptions,Gas,Groceries,Eating Out,Entertainment,Gaming,Shopping,Savings"</formula1>
    </dataValidation>
    <dataValidation type="list" allowBlank="1" showErrorMessage="1" sqref="D10:D30" xr:uid="{00000000-0002-0000-0000-000003000000}">
      <formula1>"Fixed,Variable"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C78D8"/>
    <outlinePr summaryBelow="0" summaryRight="0"/>
  </sheetPr>
  <dimension ref="A1:AA37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17.6640625" customWidth="1"/>
    <col min="2" max="2" width="16.5" customWidth="1"/>
    <col min="3" max="3" width="16.6640625" customWidth="1"/>
    <col min="4" max="4" width="10.6640625" customWidth="1"/>
    <col min="5" max="5" width="15.1640625" customWidth="1"/>
    <col min="7" max="7" width="9.33203125" customWidth="1"/>
    <col min="8" max="8" width="25" customWidth="1"/>
    <col min="13" max="27" width="12.6640625" hidden="1"/>
  </cols>
  <sheetData>
    <row r="1" spans="1:12" ht="27" customHeight="1" x14ac:dyDescent="0.35">
      <c r="A1" s="16" t="s">
        <v>41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3" spans="1:12" ht="15.75" customHeight="1" x14ac:dyDescent="0.15">
      <c r="A3" s="1" t="s">
        <v>42</v>
      </c>
      <c r="B3" s="2" t="s">
        <v>2</v>
      </c>
      <c r="C3" s="2" t="s">
        <v>3</v>
      </c>
      <c r="H3" s="2" t="s">
        <v>4</v>
      </c>
      <c r="I3" s="3">
        <f>SUMIF(D10:D30, "Fixed", E10:E30)</f>
        <v>0</v>
      </c>
    </row>
    <row r="4" spans="1:12" ht="15.75" customHeight="1" x14ac:dyDescent="0.15">
      <c r="A4" s="4" t="s">
        <v>5</v>
      </c>
      <c r="B4" s="5"/>
      <c r="C4" s="6"/>
      <c r="E4" s="7" t="s">
        <v>6</v>
      </c>
      <c r="F4" s="8">
        <f>B7-E31</f>
        <v>-0.01</v>
      </c>
      <c r="H4" s="2" t="s">
        <v>7</v>
      </c>
      <c r="I4" s="3">
        <f>SUMIF(D10:D30, "Variable", E10:E30)</f>
        <v>0</v>
      </c>
    </row>
    <row r="5" spans="1:12" ht="15.75" customHeight="1" x14ac:dyDescent="0.15">
      <c r="A5" s="4" t="s">
        <v>8</v>
      </c>
      <c r="B5" s="5"/>
      <c r="C5" s="6"/>
      <c r="E5" s="7" t="s">
        <v>9</v>
      </c>
      <c r="F5" s="9">
        <f>IF(B7=0,0,F4/B7)</f>
        <v>0</v>
      </c>
      <c r="H5" s="2" t="s">
        <v>10</v>
      </c>
      <c r="I5" s="3">
        <f>SUM(E31:E1000)</f>
        <v>0.01</v>
      </c>
    </row>
    <row r="6" spans="1:12" ht="15.75" customHeight="1" x14ac:dyDescent="0.15">
      <c r="A6" s="4" t="s">
        <v>11</v>
      </c>
      <c r="B6" s="5"/>
      <c r="C6" s="6"/>
    </row>
    <row r="7" spans="1:12" ht="15.75" customHeight="1" x14ac:dyDescent="0.15">
      <c r="A7" s="10" t="s">
        <v>12</v>
      </c>
      <c r="B7" s="3">
        <f>SUM(B4:B6)</f>
        <v>0</v>
      </c>
      <c r="C7" s="6"/>
    </row>
    <row r="9" spans="1:12" ht="15.75" customHeight="1" x14ac:dyDescent="0.15">
      <c r="A9" s="2" t="s">
        <v>13</v>
      </c>
      <c r="B9" s="2" t="s">
        <v>14</v>
      </c>
      <c r="C9" s="2" t="s">
        <v>15</v>
      </c>
      <c r="D9" s="2" t="s">
        <v>16</v>
      </c>
      <c r="E9" s="2" t="s">
        <v>2</v>
      </c>
      <c r="H9" s="11" t="s">
        <v>17</v>
      </c>
      <c r="I9" s="12">
        <f>B7 * 0.3</f>
        <v>0</v>
      </c>
    </row>
    <row r="10" spans="1:12" ht="15.75" customHeight="1" x14ac:dyDescent="0.15">
      <c r="A10" s="4"/>
      <c r="B10" s="4"/>
      <c r="C10" s="4"/>
      <c r="D10" s="5"/>
      <c r="E10" s="5">
        <v>0.01</v>
      </c>
      <c r="H10" s="11" t="s">
        <v>21</v>
      </c>
      <c r="I10" s="12">
        <f>SUMIF(B10:B1000, "Need", E10:E1000)</f>
        <v>0</v>
      </c>
    </row>
    <row r="11" spans="1:12" ht="15.75" customHeight="1" x14ac:dyDescent="0.15">
      <c r="A11" s="4"/>
      <c r="B11" s="4"/>
      <c r="C11" s="4"/>
      <c r="D11" s="5"/>
      <c r="E11" s="5"/>
      <c r="H11" s="11" t="s">
        <v>26</v>
      </c>
      <c r="I11" s="13" t="e">
        <f>I10/ B7</f>
        <v>#DIV/0!</v>
      </c>
    </row>
    <row r="12" spans="1:12" ht="15.75" customHeight="1" x14ac:dyDescent="0.15">
      <c r="A12" s="4"/>
      <c r="B12" s="4"/>
      <c r="C12" s="4"/>
      <c r="D12" s="5"/>
      <c r="E12" s="5"/>
      <c r="F12" s="14"/>
      <c r="H12" s="14"/>
      <c r="I12" s="14"/>
    </row>
    <row r="13" spans="1:12" ht="15.75" customHeight="1" x14ac:dyDescent="0.15">
      <c r="A13" s="4"/>
      <c r="B13" s="4"/>
      <c r="C13" s="4"/>
      <c r="D13" s="5"/>
      <c r="E13" s="5"/>
      <c r="F13" s="14"/>
      <c r="H13" s="11" t="s">
        <v>30</v>
      </c>
      <c r="I13" s="12">
        <f>B7 * 0.2</f>
        <v>0</v>
      </c>
    </row>
    <row r="14" spans="1:12" ht="15.75" customHeight="1" x14ac:dyDescent="0.15">
      <c r="A14" s="4"/>
      <c r="B14" s="4"/>
      <c r="C14" s="4"/>
      <c r="D14" s="5"/>
      <c r="E14" s="5"/>
      <c r="F14" s="14"/>
      <c r="H14" s="11" t="s">
        <v>33</v>
      </c>
      <c r="I14" s="12">
        <f>SUMIF(B10:B1000, "Want", E10:E1000)</f>
        <v>0</v>
      </c>
    </row>
    <row r="15" spans="1:12" ht="15.75" customHeight="1" x14ac:dyDescent="0.15">
      <c r="A15" s="4"/>
      <c r="B15" s="4"/>
      <c r="C15" s="4"/>
      <c r="D15" s="5"/>
      <c r="E15" s="5"/>
      <c r="F15" s="14"/>
      <c r="H15" s="11" t="s">
        <v>26</v>
      </c>
      <c r="I15" s="13" t="e">
        <f>I14/B7</f>
        <v>#DIV/0!</v>
      </c>
    </row>
    <row r="16" spans="1:12" ht="15.75" customHeight="1" x14ac:dyDescent="0.15">
      <c r="A16" s="4"/>
      <c r="B16" s="4"/>
      <c r="C16" s="4"/>
      <c r="D16" s="5"/>
      <c r="E16" s="5"/>
      <c r="F16" s="14"/>
      <c r="H16" s="14"/>
      <c r="I16" s="14"/>
    </row>
    <row r="17" spans="1:9" ht="15.75" customHeight="1" x14ac:dyDescent="0.15">
      <c r="A17" s="4"/>
      <c r="B17" s="4"/>
      <c r="C17" s="4"/>
      <c r="D17" s="5"/>
      <c r="E17" s="5"/>
      <c r="F17" s="14"/>
      <c r="H17" s="11" t="s">
        <v>38</v>
      </c>
      <c r="I17" s="12">
        <f>B7 * 0.5</f>
        <v>0</v>
      </c>
    </row>
    <row r="18" spans="1:9" ht="15.75" customHeight="1" x14ac:dyDescent="0.15">
      <c r="A18" s="4"/>
      <c r="B18" s="4"/>
      <c r="C18" s="4"/>
      <c r="D18" s="5"/>
      <c r="E18" s="5"/>
      <c r="F18" s="14"/>
      <c r="H18" s="11" t="s">
        <v>39</v>
      </c>
      <c r="I18" s="12">
        <f>SUMIF(B10:B1000, "Saving", E10:E1000)</f>
        <v>0</v>
      </c>
    </row>
    <row r="19" spans="1:9" ht="15.75" customHeight="1" x14ac:dyDescent="0.15">
      <c r="A19" s="4"/>
      <c r="B19" s="4"/>
      <c r="C19" s="4"/>
      <c r="D19" s="5"/>
      <c r="E19" s="5"/>
      <c r="F19" s="14"/>
      <c r="H19" s="11" t="s">
        <v>26</v>
      </c>
      <c r="I19" s="13" t="e">
        <f>I18/ B7</f>
        <v>#DIV/0!</v>
      </c>
    </row>
    <row r="20" spans="1:9" ht="15.75" customHeight="1" x14ac:dyDescent="0.15">
      <c r="A20" s="4"/>
      <c r="B20" s="4"/>
      <c r="C20" s="4"/>
      <c r="D20" s="5"/>
      <c r="E20" s="5"/>
      <c r="F20" s="14"/>
      <c r="H20" s="14"/>
      <c r="I20" s="14"/>
    </row>
    <row r="21" spans="1:9" ht="15.75" customHeight="1" x14ac:dyDescent="0.15">
      <c r="A21" s="4"/>
      <c r="B21" s="4"/>
      <c r="C21" s="4"/>
      <c r="D21" s="5"/>
      <c r="E21" s="5"/>
      <c r="F21" s="14"/>
      <c r="G21" s="14"/>
      <c r="H21" s="14"/>
      <c r="I21" s="14"/>
    </row>
    <row r="22" spans="1:9" ht="15.75" customHeight="1" x14ac:dyDescent="0.15">
      <c r="A22" s="4"/>
      <c r="B22" s="4"/>
      <c r="C22" s="4"/>
      <c r="D22" s="5"/>
      <c r="E22" s="5"/>
      <c r="F22" s="14"/>
      <c r="G22" s="14"/>
      <c r="H22" s="14"/>
      <c r="I22" s="14"/>
    </row>
    <row r="23" spans="1:9" ht="15.75" customHeight="1" x14ac:dyDescent="0.15">
      <c r="A23" s="4"/>
      <c r="B23" s="4"/>
      <c r="C23" s="4"/>
      <c r="D23" s="5"/>
      <c r="E23" s="5"/>
      <c r="F23" s="14"/>
      <c r="G23" s="14"/>
      <c r="H23" s="14"/>
      <c r="I23" s="14"/>
    </row>
    <row r="24" spans="1:9" ht="15.75" customHeight="1" x14ac:dyDescent="0.15">
      <c r="A24" s="4"/>
      <c r="B24" s="4"/>
      <c r="C24" s="4"/>
      <c r="D24" s="5"/>
      <c r="E24" s="5"/>
      <c r="F24" s="14"/>
      <c r="G24" s="14"/>
      <c r="H24" s="14"/>
      <c r="I24" s="14"/>
    </row>
    <row r="25" spans="1:9" ht="15.75" customHeight="1" x14ac:dyDescent="0.15">
      <c r="A25" s="4"/>
      <c r="B25" s="4"/>
      <c r="C25" s="4"/>
      <c r="D25" s="5"/>
      <c r="E25" s="5"/>
      <c r="F25" s="14"/>
      <c r="G25" s="14"/>
      <c r="H25" s="14"/>
    </row>
    <row r="26" spans="1:9" ht="15.75" customHeight="1" x14ac:dyDescent="0.15">
      <c r="A26" s="4"/>
      <c r="B26" s="4"/>
      <c r="C26" s="4"/>
      <c r="D26" s="5"/>
      <c r="E26" s="5"/>
      <c r="F26" s="14"/>
      <c r="H26" s="14"/>
    </row>
    <row r="27" spans="1:9" ht="15.75" customHeight="1" x14ac:dyDescent="0.15">
      <c r="A27" s="4"/>
      <c r="B27" s="4"/>
      <c r="C27" s="4"/>
      <c r="D27" s="5"/>
      <c r="E27" s="5"/>
      <c r="F27" s="14"/>
    </row>
    <row r="28" spans="1:9" ht="15.75" customHeight="1" x14ac:dyDescent="0.15">
      <c r="A28" s="4"/>
      <c r="B28" s="4"/>
      <c r="C28" s="4"/>
      <c r="D28" s="5"/>
      <c r="E28" s="5"/>
    </row>
    <row r="29" spans="1:9" ht="15.75" customHeight="1" x14ac:dyDescent="0.15">
      <c r="A29" s="4"/>
      <c r="B29" s="4"/>
      <c r="C29" s="4"/>
      <c r="D29" s="5"/>
      <c r="E29" s="5"/>
    </row>
    <row r="30" spans="1:9" ht="15.75" customHeight="1" x14ac:dyDescent="0.15">
      <c r="A30" s="4"/>
      <c r="B30" s="4"/>
      <c r="C30" s="4"/>
      <c r="D30" s="5"/>
      <c r="E30" s="5"/>
    </row>
    <row r="31" spans="1:9" ht="15.75" customHeight="1" x14ac:dyDescent="0.15">
      <c r="A31" s="10" t="s">
        <v>40</v>
      </c>
      <c r="B31" s="4"/>
      <c r="C31" s="4"/>
      <c r="D31" s="5"/>
      <c r="E31" s="3">
        <f>SUM(E10:E30)</f>
        <v>0.01</v>
      </c>
    </row>
    <row r="37" spans="9:9" ht="15.75" customHeight="1" x14ac:dyDescent="0.15">
      <c r="I37" s="15"/>
    </row>
  </sheetData>
  <mergeCells count="1">
    <mergeCell ref="A1:L1"/>
  </mergeCells>
  <dataValidations count="4">
    <dataValidation type="list" allowBlank="1" showErrorMessage="1" sqref="A4:A6" xr:uid="{00000000-0002-0000-0100-000000000000}">
      <formula1>"Salary,Other,VA"</formula1>
    </dataValidation>
    <dataValidation type="list" allowBlank="1" showErrorMessage="1" sqref="B10:B30" xr:uid="{00000000-0002-0000-0100-000001000000}">
      <formula1>"Need,Want,Saving"</formula1>
    </dataValidation>
    <dataValidation type="list" allowBlank="1" showErrorMessage="1" sqref="A10:A30" xr:uid="{00000000-0002-0000-0100-000002000000}">
      <formula1>"Rent,Phone Bill,Wifi,Insurance,Subscriptions,Gas,Groceries,Eating Out,Entertainment,Gaming,Shopping,Savings"</formula1>
    </dataValidation>
    <dataValidation type="list" allowBlank="1" showErrorMessage="1" sqref="D10:D30" xr:uid="{00000000-0002-0000-0100-000003000000}">
      <formula1>"Fixed,Variable"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C78D8"/>
    <outlinePr summaryBelow="0" summaryRight="0"/>
  </sheetPr>
  <dimension ref="A1:AA37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17.6640625" customWidth="1"/>
    <col min="2" max="2" width="16.5" customWidth="1"/>
    <col min="3" max="3" width="16.6640625" customWidth="1"/>
    <col min="4" max="4" width="10.6640625" customWidth="1"/>
    <col min="5" max="5" width="15.1640625" customWidth="1"/>
    <col min="7" max="7" width="9.33203125" customWidth="1"/>
    <col min="8" max="8" width="25" customWidth="1"/>
    <col min="13" max="27" width="12.6640625" hidden="1"/>
  </cols>
  <sheetData>
    <row r="1" spans="1:12" ht="27" customHeight="1" x14ac:dyDescent="0.35">
      <c r="A1" s="16" t="s">
        <v>43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3" spans="1:12" ht="15.75" customHeight="1" x14ac:dyDescent="0.15">
      <c r="A3" s="1" t="s">
        <v>44</v>
      </c>
      <c r="B3" s="2" t="s">
        <v>2</v>
      </c>
      <c r="C3" s="2" t="s">
        <v>3</v>
      </c>
      <c r="H3" s="2" t="s">
        <v>4</v>
      </c>
      <c r="I3" s="3">
        <f>SUMIF(D10:D30, "Fixed", E10:E30)</f>
        <v>0</v>
      </c>
    </row>
    <row r="4" spans="1:12" ht="15.75" customHeight="1" x14ac:dyDescent="0.15">
      <c r="A4" s="4" t="s">
        <v>5</v>
      </c>
      <c r="B4" s="5"/>
      <c r="C4" s="6"/>
      <c r="E4" s="7" t="s">
        <v>6</v>
      </c>
      <c r="F4" s="8">
        <f>B7-E31</f>
        <v>-0.01</v>
      </c>
      <c r="H4" s="2" t="s">
        <v>7</v>
      </c>
      <c r="I4" s="3">
        <f>SUMIF(D10:D30, "Variable", E10:E30)</f>
        <v>0</v>
      </c>
    </row>
    <row r="5" spans="1:12" ht="15.75" customHeight="1" x14ac:dyDescent="0.15">
      <c r="A5" s="4" t="s">
        <v>8</v>
      </c>
      <c r="B5" s="5"/>
      <c r="C5" s="6"/>
      <c r="E5" s="7" t="s">
        <v>9</v>
      </c>
      <c r="F5" s="9">
        <f>IF(B7=0,0,F4/B7)</f>
        <v>0</v>
      </c>
      <c r="H5" s="2" t="s">
        <v>10</v>
      </c>
      <c r="I5" s="3">
        <f>SUM(E31:E1000)</f>
        <v>0.01</v>
      </c>
    </row>
    <row r="6" spans="1:12" ht="15.75" customHeight="1" x14ac:dyDescent="0.15">
      <c r="A6" s="4" t="s">
        <v>11</v>
      </c>
      <c r="B6" s="5"/>
      <c r="C6" s="6"/>
    </row>
    <row r="7" spans="1:12" ht="15.75" customHeight="1" x14ac:dyDescent="0.15">
      <c r="A7" s="10" t="s">
        <v>12</v>
      </c>
      <c r="B7" s="3">
        <f>SUM(B4:B6)</f>
        <v>0</v>
      </c>
      <c r="C7" s="6"/>
    </row>
    <row r="9" spans="1:12" ht="15.75" customHeight="1" x14ac:dyDescent="0.15">
      <c r="A9" s="2" t="s">
        <v>13</v>
      </c>
      <c r="B9" s="2" t="s">
        <v>14</v>
      </c>
      <c r="C9" s="2" t="s">
        <v>15</v>
      </c>
      <c r="D9" s="2" t="s">
        <v>16</v>
      </c>
      <c r="E9" s="2" t="s">
        <v>2</v>
      </c>
      <c r="H9" s="11" t="s">
        <v>17</v>
      </c>
      <c r="I9" s="12">
        <f>B7 * 0.3</f>
        <v>0</v>
      </c>
    </row>
    <row r="10" spans="1:12" ht="15.75" customHeight="1" x14ac:dyDescent="0.15">
      <c r="A10" s="4"/>
      <c r="B10" s="4"/>
      <c r="C10" s="4"/>
      <c r="D10" s="5"/>
      <c r="E10" s="5">
        <v>0.01</v>
      </c>
      <c r="H10" s="11" t="s">
        <v>21</v>
      </c>
      <c r="I10" s="12">
        <f>SUMIF(B10:B1000, "Need", E10:E1000)</f>
        <v>0</v>
      </c>
    </row>
    <row r="11" spans="1:12" ht="15.75" customHeight="1" x14ac:dyDescent="0.15">
      <c r="A11" s="4"/>
      <c r="B11" s="4"/>
      <c r="C11" s="4"/>
      <c r="D11" s="5"/>
      <c r="E11" s="5"/>
      <c r="H11" s="11" t="s">
        <v>26</v>
      </c>
      <c r="I11" s="13" t="e">
        <f>I10/ B7</f>
        <v>#DIV/0!</v>
      </c>
    </row>
    <row r="12" spans="1:12" ht="15.75" customHeight="1" x14ac:dyDescent="0.15">
      <c r="A12" s="4"/>
      <c r="B12" s="4"/>
      <c r="C12" s="4"/>
      <c r="D12" s="5"/>
      <c r="E12" s="5"/>
      <c r="F12" s="14"/>
      <c r="H12" s="14"/>
      <c r="I12" s="14"/>
    </row>
    <row r="13" spans="1:12" ht="15.75" customHeight="1" x14ac:dyDescent="0.15">
      <c r="A13" s="4"/>
      <c r="B13" s="4"/>
      <c r="C13" s="4"/>
      <c r="D13" s="5"/>
      <c r="E13" s="5"/>
      <c r="F13" s="14"/>
      <c r="H13" s="11" t="s">
        <v>30</v>
      </c>
      <c r="I13" s="12">
        <f>B7 * 0.2</f>
        <v>0</v>
      </c>
    </row>
    <row r="14" spans="1:12" ht="15.75" customHeight="1" x14ac:dyDescent="0.15">
      <c r="A14" s="4"/>
      <c r="B14" s="4"/>
      <c r="C14" s="4"/>
      <c r="D14" s="5"/>
      <c r="E14" s="5"/>
      <c r="F14" s="14"/>
      <c r="H14" s="11" t="s">
        <v>33</v>
      </c>
      <c r="I14" s="12">
        <f>SUMIF(B10:B1000, "Want", E10:E1000)</f>
        <v>0</v>
      </c>
    </row>
    <row r="15" spans="1:12" ht="15.75" customHeight="1" x14ac:dyDescent="0.15">
      <c r="A15" s="4"/>
      <c r="B15" s="4"/>
      <c r="C15" s="4"/>
      <c r="D15" s="5"/>
      <c r="E15" s="5"/>
      <c r="F15" s="14"/>
      <c r="H15" s="11" t="s">
        <v>26</v>
      </c>
      <c r="I15" s="13" t="e">
        <f>I14/B7</f>
        <v>#DIV/0!</v>
      </c>
    </row>
    <row r="16" spans="1:12" ht="15.75" customHeight="1" x14ac:dyDescent="0.15">
      <c r="A16" s="4"/>
      <c r="B16" s="4"/>
      <c r="C16" s="4"/>
      <c r="D16" s="5"/>
      <c r="E16" s="5"/>
      <c r="F16" s="14"/>
      <c r="H16" s="14"/>
      <c r="I16" s="14"/>
    </row>
    <row r="17" spans="1:9" ht="15.75" customHeight="1" x14ac:dyDescent="0.15">
      <c r="A17" s="4"/>
      <c r="B17" s="4"/>
      <c r="C17" s="4"/>
      <c r="D17" s="5"/>
      <c r="E17" s="5"/>
      <c r="F17" s="14"/>
      <c r="H17" s="11" t="s">
        <v>38</v>
      </c>
      <c r="I17" s="12">
        <f>B7 * 0.5</f>
        <v>0</v>
      </c>
    </row>
    <row r="18" spans="1:9" ht="15.75" customHeight="1" x14ac:dyDescent="0.15">
      <c r="A18" s="4"/>
      <c r="B18" s="4"/>
      <c r="C18" s="4"/>
      <c r="D18" s="5"/>
      <c r="E18" s="5"/>
      <c r="F18" s="14"/>
      <c r="H18" s="11" t="s">
        <v>39</v>
      </c>
      <c r="I18" s="12">
        <f>SUMIF(B10:B1000, "Saving", E10:E1000)</f>
        <v>0</v>
      </c>
    </row>
    <row r="19" spans="1:9" ht="15.75" customHeight="1" x14ac:dyDescent="0.15">
      <c r="A19" s="4"/>
      <c r="B19" s="4"/>
      <c r="C19" s="4"/>
      <c r="D19" s="5"/>
      <c r="E19" s="5"/>
      <c r="F19" s="14"/>
      <c r="H19" s="11" t="s">
        <v>26</v>
      </c>
      <c r="I19" s="13" t="e">
        <f>I18/ B7</f>
        <v>#DIV/0!</v>
      </c>
    </row>
    <row r="20" spans="1:9" ht="15.75" customHeight="1" x14ac:dyDescent="0.15">
      <c r="A20" s="4"/>
      <c r="B20" s="4"/>
      <c r="C20" s="4"/>
      <c r="D20" s="5"/>
      <c r="E20" s="5"/>
      <c r="F20" s="14"/>
      <c r="H20" s="14"/>
      <c r="I20" s="14"/>
    </row>
    <row r="21" spans="1:9" ht="15.75" customHeight="1" x14ac:dyDescent="0.15">
      <c r="A21" s="4"/>
      <c r="B21" s="4"/>
      <c r="C21" s="4"/>
      <c r="D21" s="5"/>
      <c r="E21" s="5"/>
      <c r="F21" s="14"/>
      <c r="G21" s="14"/>
      <c r="H21" s="14"/>
      <c r="I21" s="14"/>
    </row>
    <row r="22" spans="1:9" ht="15.75" customHeight="1" x14ac:dyDescent="0.15">
      <c r="A22" s="4"/>
      <c r="B22" s="4"/>
      <c r="C22" s="4"/>
      <c r="D22" s="5"/>
      <c r="E22" s="5"/>
      <c r="F22" s="14"/>
      <c r="G22" s="14"/>
      <c r="H22" s="14"/>
      <c r="I22" s="14"/>
    </row>
    <row r="23" spans="1:9" ht="15.75" customHeight="1" x14ac:dyDescent="0.15">
      <c r="A23" s="4"/>
      <c r="B23" s="4"/>
      <c r="C23" s="4"/>
      <c r="D23" s="5"/>
      <c r="E23" s="5"/>
      <c r="F23" s="14"/>
      <c r="G23" s="14"/>
      <c r="H23" s="14"/>
      <c r="I23" s="14"/>
    </row>
    <row r="24" spans="1:9" ht="15.75" customHeight="1" x14ac:dyDescent="0.15">
      <c r="A24" s="4"/>
      <c r="B24" s="4"/>
      <c r="C24" s="4"/>
      <c r="D24" s="5"/>
      <c r="E24" s="5"/>
      <c r="F24" s="14"/>
      <c r="G24" s="14"/>
      <c r="H24" s="14"/>
      <c r="I24" s="14"/>
    </row>
    <row r="25" spans="1:9" ht="15.75" customHeight="1" x14ac:dyDescent="0.15">
      <c r="A25" s="4"/>
      <c r="B25" s="4"/>
      <c r="C25" s="4"/>
      <c r="D25" s="5"/>
      <c r="E25" s="5"/>
      <c r="F25" s="14"/>
      <c r="G25" s="14"/>
      <c r="H25" s="14"/>
    </row>
    <row r="26" spans="1:9" ht="15.75" customHeight="1" x14ac:dyDescent="0.15">
      <c r="A26" s="4"/>
      <c r="B26" s="4"/>
      <c r="C26" s="4"/>
      <c r="D26" s="5"/>
      <c r="E26" s="5"/>
      <c r="F26" s="14"/>
      <c r="H26" s="14"/>
    </row>
    <row r="27" spans="1:9" ht="15.75" customHeight="1" x14ac:dyDescent="0.15">
      <c r="A27" s="4"/>
      <c r="B27" s="4"/>
      <c r="C27" s="4"/>
      <c r="D27" s="5"/>
      <c r="E27" s="5"/>
      <c r="F27" s="14"/>
    </row>
    <row r="28" spans="1:9" ht="15.75" customHeight="1" x14ac:dyDescent="0.15">
      <c r="A28" s="4"/>
      <c r="B28" s="4"/>
      <c r="C28" s="4"/>
      <c r="D28" s="5"/>
      <c r="E28" s="5"/>
    </row>
    <row r="29" spans="1:9" ht="15.75" customHeight="1" x14ac:dyDescent="0.15">
      <c r="A29" s="4"/>
      <c r="B29" s="4"/>
      <c r="C29" s="4"/>
      <c r="D29" s="5"/>
      <c r="E29" s="5"/>
    </row>
    <row r="30" spans="1:9" ht="15.75" customHeight="1" x14ac:dyDescent="0.15">
      <c r="A30" s="4"/>
      <c r="B30" s="4"/>
      <c r="C30" s="4"/>
      <c r="D30" s="5"/>
      <c r="E30" s="5"/>
    </row>
    <row r="31" spans="1:9" ht="15.75" customHeight="1" x14ac:dyDescent="0.15">
      <c r="A31" s="10" t="s">
        <v>40</v>
      </c>
      <c r="B31" s="4"/>
      <c r="C31" s="4"/>
      <c r="D31" s="5"/>
      <c r="E31" s="3">
        <f>SUM(E10:E30)</f>
        <v>0.01</v>
      </c>
    </row>
    <row r="37" spans="9:9" ht="15.75" customHeight="1" x14ac:dyDescent="0.15">
      <c r="I37" s="15"/>
    </row>
  </sheetData>
  <mergeCells count="1">
    <mergeCell ref="A1:L1"/>
  </mergeCells>
  <dataValidations count="4">
    <dataValidation type="list" allowBlank="1" showErrorMessage="1" sqref="A4:A6" xr:uid="{00000000-0002-0000-0200-000000000000}">
      <formula1>"Salary,Other,VA"</formula1>
    </dataValidation>
    <dataValidation type="list" allowBlank="1" showErrorMessage="1" sqref="B10:B30" xr:uid="{00000000-0002-0000-0200-000001000000}">
      <formula1>"Need,Want,Saving"</formula1>
    </dataValidation>
    <dataValidation type="list" allowBlank="1" showErrorMessage="1" sqref="A10:A30" xr:uid="{00000000-0002-0000-0200-000002000000}">
      <formula1>"Rent,Phone Bill,Wifi,Insurance,Subscriptions,Gas,Groceries,Eating Out,Entertainment,Gaming,Shopping,Savings"</formula1>
    </dataValidation>
    <dataValidation type="list" allowBlank="1" showErrorMessage="1" sqref="D10:D30" xr:uid="{00000000-0002-0000-0200-000003000000}">
      <formula1>"Fixed,Variable"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C78D8"/>
    <outlinePr summaryBelow="0" summaryRight="0"/>
  </sheetPr>
  <dimension ref="A1:AA37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17.6640625" customWidth="1"/>
    <col min="2" max="2" width="16.5" customWidth="1"/>
    <col min="3" max="3" width="16.6640625" customWidth="1"/>
    <col min="4" max="4" width="10.6640625" customWidth="1"/>
    <col min="5" max="5" width="15.1640625" customWidth="1"/>
    <col min="7" max="7" width="9.33203125" customWidth="1"/>
    <col min="8" max="8" width="25" customWidth="1"/>
    <col min="13" max="27" width="12.6640625" hidden="1"/>
  </cols>
  <sheetData>
    <row r="1" spans="1:12" ht="27" customHeight="1" x14ac:dyDescent="0.35">
      <c r="A1" s="16" t="s">
        <v>45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3" spans="1:12" ht="15.75" customHeight="1" x14ac:dyDescent="0.15">
      <c r="A3" s="1" t="s">
        <v>46</v>
      </c>
      <c r="B3" s="2" t="s">
        <v>2</v>
      </c>
      <c r="C3" s="2" t="s">
        <v>3</v>
      </c>
      <c r="H3" s="2" t="s">
        <v>4</v>
      </c>
      <c r="I3" s="3">
        <f>SUMIF(D10:D30, "Fixed", E10:E30)</f>
        <v>0</v>
      </c>
    </row>
    <row r="4" spans="1:12" ht="15.75" customHeight="1" x14ac:dyDescent="0.15">
      <c r="A4" s="4" t="s">
        <v>5</v>
      </c>
      <c r="B4" s="5"/>
      <c r="C4" s="6"/>
      <c r="E4" s="7" t="s">
        <v>6</v>
      </c>
      <c r="F4" s="8">
        <f>B7-E31</f>
        <v>-0.01</v>
      </c>
      <c r="H4" s="2" t="s">
        <v>7</v>
      </c>
      <c r="I4" s="3">
        <f>SUMIF(D10:D30, "Variable", E10:E30)</f>
        <v>0</v>
      </c>
    </row>
    <row r="5" spans="1:12" ht="15.75" customHeight="1" x14ac:dyDescent="0.15">
      <c r="A5" s="4" t="s">
        <v>8</v>
      </c>
      <c r="B5" s="5"/>
      <c r="C5" s="6"/>
      <c r="E5" s="7" t="s">
        <v>9</v>
      </c>
      <c r="F5" s="9">
        <f>IF(B7=0,0,F4/B7)</f>
        <v>0</v>
      </c>
      <c r="H5" s="2" t="s">
        <v>10</v>
      </c>
      <c r="I5" s="3">
        <f>SUM(E31:E1000)</f>
        <v>0.01</v>
      </c>
    </row>
    <row r="6" spans="1:12" ht="15.75" customHeight="1" x14ac:dyDescent="0.15">
      <c r="A6" s="4" t="s">
        <v>11</v>
      </c>
      <c r="B6" s="5"/>
      <c r="C6" s="6"/>
    </row>
    <row r="7" spans="1:12" ht="15.75" customHeight="1" x14ac:dyDescent="0.15">
      <c r="A7" s="10" t="s">
        <v>12</v>
      </c>
      <c r="B7" s="3">
        <f>SUM(B4:B6)</f>
        <v>0</v>
      </c>
      <c r="C7" s="6"/>
    </row>
    <row r="9" spans="1:12" ht="15.75" customHeight="1" x14ac:dyDescent="0.15">
      <c r="A9" s="2" t="s">
        <v>13</v>
      </c>
      <c r="B9" s="2" t="s">
        <v>14</v>
      </c>
      <c r="C9" s="2" t="s">
        <v>15</v>
      </c>
      <c r="D9" s="2" t="s">
        <v>16</v>
      </c>
      <c r="E9" s="2" t="s">
        <v>2</v>
      </c>
      <c r="H9" s="11" t="s">
        <v>17</v>
      </c>
      <c r="I9" s="12">
        <f>B7 * 0.3</f>
        <v>0</v>
      </c>
    </row>
    <row r="10" spans="1:12" ht="15.75" customHeight="1" x14ac:dyDescent="0.15">
      <c r="A10" s="4"/>
      <c r="B10" s="4"/>
      <c r="C10" s="4"/>
      <c r="D10" s="5"/>
      <c r="E10" s="5">
        <v>0.01</v>
      </c>
      <c r="H10" s="11" t="s">
        <v>21</v>
      </c>
      <c r="I10" s="12">
        <f>SUMIF(B10:B1000, "Need", E10:E1000)</f>
        <v>0</v>
      </c>
    </row>
    <row r="11" spans="1:12" ht="15.75" customHeight="1" x14ac:dyDescent="0.15">
      <c r="A11" s="4"/>
      <c r="B11" s="4"/>
      <c r="C11" s="4"/>
      <c r="D11" s="5"/>
      <c r="E11" s="5"/>
      <c r="H11" s="11" t="s">
        <v>26</v>
      </c>
      <c r="I11" s="13" t="e">
        <f>I10/ B7</f>
        <v>#DIV/0!</v>
      </c>
    </row>
    <row r="12" spans="1:12" ht="15.75" customHeight="1" x14ac:dyDescent="0.15">
      <c r="A12" s="4"/>
      <c r="B12" s="4"/>
      <c r="C12" s="4"/>
      <c r="D12" s="5"/>
      <c r="E12" s="5"/>
      <c r="F12" s="14"/>
      <c r="H12" s="14"/>
      <c r="I12" s="14"/>
    </row>
    <row r="13" spans="1:12" ht="15.75" customHeight="1" x14ac:dyDescent="0.15">
      <c r="A13" s="4"/>
      <c r="B13" s="4"/>
      <c r="C13" s="4"/>
      <c r="D13" s="5"/>
      <c r="E13" s="5"/>
      <c r="F13" s="14"/>
      <c r="H13" s="11" t="s">
        <v>30</v>
      </c>
      <c r="I13" s="12">
        <f>B7 * 0.2</f>
        <v>0</v>
      </c>
    </row>
    <row r="14" spans="1:12" ht="15.75" customHeight="1" x14ac:dyDescent="0.15">
      <c r="A14" s="4"/>
      <c r="B14" s="4"/>
      <c r="C14" s="4"/>
      <c r="D14" s="5"/>
      <c r="E14" s="5"/>
      <c r="F14" s="14"/>
      <c r="H14" s="11" t="s">
        <v>33</v>
      </c>
      <c r="I14" s="12">
        <f>SUMIF(B10:B1000, "Want", E10:E1000)</f>
        <v>0</v>
      </c>
    </row>
    <row r="15" spans="1:12" ht="15.75" customHeight="1" x14ac:dyDescent="0.15">
      <c r="A15" s="4"/>
      <c r="B15" s="4"/>
      <c r="C15" s="4"/>
      <c r="D15" s="5"/>
      <c r="E15" s="5"/>
      <c r="F15" s="14"/>
      <c r="H15" s="11" t="s">
        <v>26</v>
      </c>
      <c r="I15" s="13" t="e">
        <f>I14/B7</f>
        <v>#DIV/0!</v>
      </c>
    </row>
    <row r="16" spans="1:12" ht="15.75" customHeight="1" x14ac:dyDescent="0.15">
      <c r="A16" s="4"/>
      <c r="B16" s="4"/>
      <c r="C16" s="4"/>
      <c r="D16" s="5"/>
      <c r="E16" s="5"/>
      <c r="F16" s="14"/>
      <c r="H16" s="14"/>
      <c r="I16" s="14"/>
    </row>
    <row r="17" spans="1:9" ht="15.75" customHeight="1" x14ac:dyDescent="0.15">
      <c r="A17" s="4"/>
      <c r="B17" s="4"/>
      <c r="C17" s="4"/>
      <c r="D17" s="5"/>
      <c r="E17" s="5"/>
      <c r="F17" s="14"/>
      <c r="H17" s="11" t="s">
        <v>38</v>
      </c>
      <c r="I17" s="12">
        <f>B7 * 0.5</f>
        <v>0</v>
      </c>
    </row>
    <row r="18" spans="1:9" ht="15.75" customHeight="1" x14ac:dyDescent="0.15">
      <c r="A18" s="4"/>
      <c r="B18" s="4"/>
      <c r="C18" s="4"/>
      <c r="D18" s="5"/>
      <c r="E18" s="5"/>
      <c r="F18" s="14"/>
      <c r="H18" s="11" t="s">
        <v>39</v>
      </c>
      <c r="I18" s="12">
        <f>SUMIF(B10:B1000, "Saving", E10:E1000)</f>
        <v>0</v>
      </c>
    </row>
    <row r="19" spans="1:9" ht="15.75" customHeight="1" x14ac:dyDescent="0.15">
      <c r="A19" s="4"/>
      <c r="B19" s="4"/>
      <c r="C19" s="4"/>
      <c r="D19" s="5"/>
      <c r="E19" s="5"/>
      <c r="F19" s="14"/>
      <c r="H19" s="11" t="s">
        <v>26</v>
      </c>
      <c r="I19" s="13" t="e">
        <f>I18/ B7</f>
        <v>#DIV/0!</v>
      </c>
    </row>
    <row r="20" spans="1:9" ht="15.75" customHeight="1" x14ac:dyDescent="0.15">
      <c r="A20" s="4"/>
      <c r="B20" s="4"/>
      <c r="C20" s="4"/>
      <c r="D20" s="5"/>
      <c r="E20" s="5"/>
      <c r="F20" s="14"/>
      <c r="H20" s="14"/>
      <c r="I20" s="14"/>
    </row>
    <row r="21" spans="1:9" ht="15.75" customHeight="1" x14ac:dyDescent="0.15">
      <c r="A21" s="4"/>
      <c r="B21" s="4"/>
      <c r="C21" s="4"/>
      <c r="D21" s="5"/>
      <c r="E21" s="5"/>
      <c r="F21" s="14"/>
      <c r="G21" s="14"/>
      <c r="H21" s="14"/>
      <c r="I21" s="14"/>
    </row>
    <row r="22" spans="1:9" ht="15.75" customHeight="1" x14ac:dyDescent="0.15">
      <c r="A22" s="4"/>
      <c r="B22" s="4"/>
      <c r="C22" s="4"/>
      <c r="D22" s="5"/>
      <c r="E22" s="5"/>
      <c r="F22" s="14"/>
      <c r="G22" s="14"/>
      <c r="H22" s="14"/>
      <c r="I22" s="14"/>
    </row>
    <row r="23" spans="1:9" ht="15.75" customHeight="1" x14ac:dyDescent="0.15">
      <c r="A23" s="4"/>
      <c r="B23" s="4"/>
      <c r="C23" s="4"/>
      <c r="D23" s="5"/>
      <c r="E23" s="5"/>
      <c r="F23" s="14"/>
      <c r="G23" s="14"/>
      <c r="H23" s="14"/>
      <c r="I23" s="14"/>
    </row>
    <row r="24" spans="1:9" ht="15.75" customHeight="1" x14ac:dyDescent="0.15">
      <c r="A24" s="4"/>
      <c r="B24" s="4"/>
      <c r="C24" s="4"/>
      <c r="D24" s="5"/>
      <c r="E24" s="5"/>
      <c r="F24" s="14"/>
      <c r="G24" s="14"/>
      <c r="H24" s="14"/>
      <c r="I24" s="14"/>
    </row>
    <row r="25" spans="1:9" ht="15.75" customHeight="1" x14ac:dyDescent="0.15">
      <c r="A25" s="4"/>
      <c r="B25" s="4"/>
      <c r="C25" s="4"/>
      <c r="D25" s="5"/>
      <c r="E25" s="5"/>
      <c r="F25" s="14"/>
      <c r="G25" s="14"/>
      <c r="H25" s="14"/>
    </row>
    <row r="26" spans="1:9" ht="15.75" customHeight="1" x14ac:dyDescent="0.15">
      <c r="A26" s="4"/>
      <c r="B26" s="4"/>
      <c r="C26" s="4"/>
      <c r="D26" s="5"/>
      <c r="E26" s="5"/>
      <c r="F26" s="14"/>
      <c r="H26" s="14"/>
    </row>
    <row r="27" spans="1:9" ht="15.75" customHeight="1" x14ac:dyDescent="0.15">
      <c r="A27" s="4"/>
      <c r="B27" s="4"/>
      <c r="C27" s="4"/>
      <c r="D27" s="5"/>
      <c r="E27" s="5"/>
      <c r="F27" s="14"/>
    </row>
    <row r="28" spans="1:9" ht="15.75" customHeight="1" x14ac:dyDescent="0.15">
      <c r="A28" s="4"/>
      <c r="B28" s="4"/>
      <c r="C28" s="4"/>
      <c r="D28" s="5"/>
      <c r="E28" s="5"/>
    </row>
    <row r="29" spans="1:9" ht="15.75" customHeight="1" x14ac:dyDescent="0.15">
      <c r="A29" s="4"/>
      <c r="B29" s="4"/>
      <c r="C29" s="4"/>
      <c r="D29" s="5"/>
      <c r="E29" s="5"/>
    </row>
    <row r="30" spans="1:9" ht="15.75" customHeight="1" x14ac:dyDescent="0.15">
      <c r="A30" s="4"/>
      <c r="B30" s="4"/>
      <c r="C30" s="4"/>
      <c r="D30" s="5"/>
      <c r="E30" s="5"/>
    </row>
    <row r="31" spans="1:9" ht="15.75" customHeight="1" x14ac:dyDescent="0.15">
      <c r="A31" s="10" t="s">
        <v>40</v>
      </c>
      <c r="B31" s="4"/>
      <c r="C31" s="4"/>
      <c r="D31" s="5"/>
      <c r="E31" s="3">
        <f>SUM(E10:E30)</f>
        <v>0.01</v>
      </c>
    </row>
    <row r="37" spans="9:9" ht="15.75" customHeight="1" x14ac:dyDescent="0.15">
      <c r="I37" s="15"/>
    </row>
  </sheetData>
  <mergeCells count="1">
    <mergeCell ref="A1:L1"/>
  </mergeCells>
  <dataValidations count="4">
    <dataValidation type="list" allowBlank="1" showErrorMessage="1" sqref="A4:A6" xr:uid="{00000000-0002-0000-0300-000000000000}">
      <formula1>"Salary,Other,VA"</formula1>
    </dataValidation>
    <dataValidation type="list" allowBlank="1" showErrorMessage="1" sqref="B10:B30" xr:uid="{00000000-0002-0000-0300-000001000000}">
      <formula1>"Need,Want,Saving"</formula1>
    </dataValidation>
    <dataValidation type="list" allowBlank="1" showErrorMessage="1" sqref="A10:A30" xr:uid="{00000000-0002-0000-0300-000002000000}">
      <formula1>"Rent,Phone Bill,Wifi,Insurance,Subscriptions,Gas,Groceries,Eating Out,Entertainment,Gaming,Shopping,Savings"</formula1>
    </dataValidation>
    <dataValidation type="list" allowBlank="1" showErrorMessage="1" sqref="D10:D30" xr:uid="{00000000-0002-0000-0300-000003000000}">
      <formula1>"Fixed,Variable"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3C78D8"/>
    <outlinePr summaryBelow="0" summaryRight="0"/>
  </sheetPr>
  <dimension ref="A1:AA37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17.6640625" customWidth="1"/>
    <col min="2" max="2" width="16.5" customWidth="1"/>
    <col min="3" max="3" width="16.6640625" customWidth="1"/>
    <col min="4" max="4" width="10.6640625" customWidth="1"/>
    <col min="5" max="5" width="15.1640625" customWidth="1"/>
    <col min="7" max="7" width="9.33203125" customWidth="1"/>
    <col min="8" max="8" width="25" customWidth="1"/>
    <col min="13" max="27" width="12.6640625" hidden="1"/>
  </cols>
  <sheetData>
    <row r="1" spans="1:12" ht="27" customHeight="1" x14ac:dyDescent="0.35">
      <c r="A1" s="16" t="s">
        <v>47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3" spans="1:12" ht="15.75" customHeight="1" x14ac:dyDescent="0.15">
      <c r="A3" s="1" t="s">
        <v>48</v>
      </c>
      <c r="B3" s="2" t="s">
        <v>2</v>
      </c>
      <c r="C3" s="2" t="s">
        <v>3</v>
      </c>
      <c r="H3" s="2" t="s">
        <v>4</v>
      </c>
      <c r="I3" s="3">
        <f>SUMIF(D10:D30, "Fixed", E10:E30)</f>
        <v>0</v>
      </c>
    </row>
    <row r="4" spans="1:12" ht="15.75" customHeight="1" x14ac:dyDescent="0.15">
      <c r="A4" s="4" t="s">
        <v>5</v>
      </c>
      <c r="B4" s="5"/>
      <c r="C4" s="6"/>
      <c r="E4" s="7" t="s">
        <v>6</v>
      </c>
      <c r="F4" s="8">
        <f>B7-E31</f>
        <v>-0.01</v>
      </c>
      <c r="H4" s="2" t="s">
        <v>7</v>
      </c>
      <c r="I4" s="3">
        <f>SUMIF(D10:D30, "Variable", E10:E30)</f>
        <v>0</v>
      </c>
    </row>
    <row r="5" spans="1:12" ht="15.75" customHeight="1" x14ac:dyDescent="0.15">
      <c r="A5" s="4" t="s">
        <v>8</v>
      </c>
      <c r="B5" s="5"/>
      <c r="C5" s="6"/>
      <c r="E5" s="7" t="s">
        <v>9</v>
      </c>
      <c r="F5" s="9">
        <f>IF(B7=0,0,F4/B7)</f>
        <v>0</v>
      </c>
      <c r="H5" s="2" t="s">
        <v>10</v>
      </c>
      <c r="I5" s="3">
        <f>SUM(E31:E1000)</f>
        <v>0.01</v>
      </c>
    </row>
    <row r="6" spans="1:12" ht="15.75" customHeight="1" x14ac:dyDescent="0.15">
      <c r="A6" s="4" t="s">
        <v>11</v>
      </c>
      <c r="B6" s="5"/>
      <c r="C6" s="6"/>
    </row>
    <row r="7" spans="1:12" ht="15.75" customHeight="1" x14ac:dyDescent="0.15">
      <c r="A7" s="10" t="s">
        <v>12</v>
      </c>
      <c r="B7" s="3">
        <f>SUM(B4:B6)</f>
        <v>0</v>
      </c>
      <c r="C7" s="6"/>
    </row>
    <row r="9" spans="1:12" ht="15.75" customHeight="1" x14ac:dyDescent="0.15">
      <c r="A9" s="2" t="s">
        <v>13</v>
      </c>
      <c r="B9" s="2" t="s">
        <v>14</v>
      </c>
      <c r="C9" s="2" t="s">
        <v>15</v>
      </c>
      <c r="D9" s="2" t="s">
        <v>16</v>
      </c>
      <c r="E9" s="2" t="s">
        <v>2</v>
      </c>
      <c r="H9" s="11" t="s">
        <v>17</v>
      </c>
      <c r="I9" s="12">
        <f>B7 * 0.3</f>
        <v>0</v>
      </c>
    </row>
    <row r="10" spans="1:12" ht="15.75" customHeight="1" x14ac:dyDescent="0.15">
      <c r="A10" s="4"/>
      <c r="B10" s="4"/>
      <c r="C10" s="4"/>
      <c r="D10" s="5"/>
      <c r="E10" s="5">
        <v>0.01</v>
      </c>
      <c r="H10" s="11" t="s">
        <v>21</v>
      </c>
      <c r="I10" s="12">
        <f>SUMIF(B10:B1000, "Need", E10:E1000)</f>
        <v>0</v>
      </c>
    </row>
    <row r="11" spans="1:12" ht="15.75" customHeight="1" x14ac:dyDescent="0.15">
      <c r="A11" s="4"/>
      <c r="B11" s="4"/>
      <c r="C11" s="4"/>
      <c r="D11" s="5"/>
      <c r="E11" s="5"/>
      <c r="H11" s="11" t="s">
        <v>26</v>
      </c>
      <c r="I11" s="13" t="e">
        <f>I10/ B7</f>
        <v>#DIV/0!</v>
      </c>
    </row>
    <row r="12" spans="1:12" ht="15.75" customHeight="1" x14ac:dyDescent="0.15">
      <c r="A12" s="4"/>
      <c r="B12" s="4"/>
      <c r="C12" s="4"/>
      <c r="D12" s="5"/>
      <c r="E12" s="5"/>
      <c r="F12" s="14"/>
      <c r="H12" s="14"/>
      <c r="I12" s="14"/>
    </row>
    <row r="13" spans="1:12" ht="15.75" customHeight="1" x14ac:dyDescent="0.15">
      <c r="A13" s="4"/>
      <c r="B13" s="4"/>
      <c r="C13" s="4"/>
      <c r="D13" s="5"/>
      <c r="E13" s="5"/>
      <c r="F13" s="14"/>
      <c r="H13" s="11" t="s">
        <v>30</v>
      </c>
      <c r="I13" s="12">
        <f>B7 * 0.2</f>
        <v>0</v>
      </c>
    </row>
    <row r="14" spans="1:12" ht="15.75" customHeight="1" x14ac:dyDescent="0.15">
      <c r="A14" s="4"/>
      <c r="B14" s="4"/>
      <c r="C14" s="4"/>
      <c r="D14" s="5"/>
      <c r="E14" s="5"/>
      <c r="F14" s="14"/>
      <c r="H14" s="11" t="s">
        <v>33</v>
      </c>
      <c r="I14" s="12">
        <f>SUMIF(B10:B1000, "Want", E10:E1000)</f>
        <v>0</v>
      </c>
    </row>
    <row r="15" spans="1:12" ht="15.75" customHeight="1" x14ac:dyDescent="0.15">
      <c r="A15" s="4"/>
      <c r="B15" s="4"/>
      <c r="C15" s="4"/>
      <c r="D15" s="5"/>
      <c r="E15" s="5"/>
      <c r="F15" s="14"/>
      <c r="H15" s="11" t="s">
        <v>26</v>
      </c>
      <c r="I15" s="13" t="e">
        <f>I14/B7</f>
        <v>#DIV/0!</v>
      </c>
    </row>
    <row r="16" spans="1:12" ht="15.75" customHeight="1" x14ac:dyDescent="0.15">
      <c r="A16" s="4"/>
      <c r="B16" s="4"/>
      <c r="C16" s="4"/>
      <c r="D16" s="5"/>
      <c r="E16" s="5"/>
      <c r="F16" s="14"/>
      <c r="H16" s="14"/>
      <c r="I16" s="14"/>
    </row>
    <row r="17" spans="1:9" ht="15.75" customHeight="1" x14ac:dyDescent="0.15">
      <c r="A17" s="4"/>
      <c r="B17" s="4"/>
      <c r="C17" s="4"/>
      <c r="D17" s="5"/>
      <c r="E17" s="5"/>
      <c r="F17" s="14"/>
      <c r="H17" s="11" t="s">
        <v>38</v>
      </c>
      <c r="I17" s="12">
        <f>B7 * 0.5</f>
        <v>0</v>
      </c>
    </row>
    <row r="18" spans="1:9" ht="15.75" customHeight="1" x14ac:dyDescent="0.15">
      <c r="A18" s="4"/>
      <c r="B18" s="4"/>
      <c r="C18" s="4"/>
      <c r="D18" s="5"/>
      <c r="E18" s="5"/>
      <c r="F18" s="14"/>
      <c r="H18" s="11" t="s">
        <v>39</v>
      </c>
      <c r="I18" s="12">
        <f>SUMIF(B10:B1000, "Saving", E10:E1000)</f>
        <v>0</v>
      </c>
    </row>
    <row r="19" spans="1:9" ht="15.75" customHeight="1" x14ac:dyDescent="0.15">
      <c r="A19" s="4"/>
      <c r="B19" s="4"/>
      <c r="C19" s="4"/>
      <c r="D19" s="5"/>
      <c r="E19" s="5"/>
      <c r="F19" s="14"/>
      <c r="H19" s="11" t="s">
        <v>26</v>
      </c>
      <c r="I19" s="13" t="e">
        <f>I18/ B7</f>
        <v>#DIV/0!</v>
      </c>
    </row>
    <row r="20" spans="1:9" ht="15.75" customHeight="1" x14ac:dyDescent="0.15">
      <c r="A20" s="4"/>
      <c r="B20" s="4"/>
      <c r="C20" s="4"/>
      <c r="D20" s="5"/>
      <c r="E20" s="5"/>
      <c r="F20" s="14"/>
      <c r="H20" s="14"/>
      <c r="I20" s="14"/>
    </row>
    <row r="21" spans="1:9" ht="15.75" customHeight="1" x14ac:dyDescent="0.15">
      <c r="A21" s="4"/>
      <c r="B21" s="4"/>
      <c r="C21" s="4"/>
      <c r="D21" s="5"/>
      <c r="E21" s="5"/>
      <c r="F21" s="14"/>
      <c r="G21" s="14"/>
      <c r="H21" s="14"/>
      <c r="I21" s="14"/>
    </row>
    <row r="22" spans="1:9" ht="15.75" customHeight="1" x14ac:dyDescent="0.15">
      <c r="A22" s="4"/>
      <c r="B22" s="4"/>
      <c r="C22" s="4"/>
      <c r="D22" s="5"/>
      <c r="E22" s="5"/>
      <c r="F22" s="14"/>
      <c r="G22" s="14"/>
      <c r="H22" s="14"/>
      <c r="I22" s="14"/>
    </row>
    <row r="23" spans="1:9" ht="15.75" customHeight="1" x14ac:dyDescent="0.15">
      <c r="A23" s="4"/>
      <c r="B23" s="4"/>
      <c r="C23" s="4"/>
      <c r="D23" s="5"/>
      <c r="E23" s="5"/>
      <c r="F23" s="14"/>
      <c r="G23" s="14"/>
      <c r="H23" s="14"/>
      <c r="I23" s="14"/>
    </row>
    <row r="24" spans="1:9" ht="15.75" customHeight="1" x14ac:dyDescent="0.15">
      <c r="A24" s="4"/>
      <c r="B24" s="4"/>
      <c r="C24" s="4"/>
      <c r="D24" s="5"/>
      <c r="E24" s="5"/>
      <c r="F24" s="14"/>
      <c r="G24" s="14"/>
      <c r="H24" s="14"/>
      <c r="I24" s="14"/>
    </row>
    <row r="25" spans="1:9" ht="15.75" customHeight="1" x14ac:dyDescent="0.15">
      <c r="A25" s="4"/>
      <c r="B25" s="4"/>
      <c r="C25" s="4"/>
      <c r="D25" s="5"/>
      <c r="E25" s="5"/>
      <c r="F25" s="14"/>
      <c r="G25" s="14"/>
      <c r="H25" s="14"/>
    </row>
    <row r="26" spans="1:9" ht="15.75" customHeight="1" x14ac:dyDescent="0.15">
      <c r="A26" s="4"/>
      <c r="B26" s="4"/>
      <c r="C26" s="4"/>
      <c r="D26" s="5"/>
      <c r="E26" s="5"/>
      <c r="F26" s="14"/>
      <c r="H26" s="14"/>
    </row>
    <row r="27" spans="1:9" ht="15.75" customHeight="1" x14ac:dyDescent="0.15">
      <c r="A27" s="4"/>
      <c r="B27" s="4"/>
      <c r="C27" s="4"/>
      <c r="D27" s="5"/>
      <c r="E27" s="5"/>
      <c r="F27" s="14"/>
    </row>
    <row r="28" spans="1:9" ht="15.75" customHeight="1" x14ac:dyDescent="0.15">
      <c r="A28" s="4"/>
      <c r="B28" s="4"/>
      <c r="C28" s="4"/>
      <c r="D28" s="5"/>
      <c r="E28" s="5"/>
    </row>
    <row r="29" spans="1:9" ht="15.75" customHeight="1" x14ac:dyDescent="0.15">
      <c r="A29" s="4"/>
      <c r="B29" s="4"/>
      <c r="C29" s="4"/>
      <c r="D29" s="5"/>
      <c r="E29" s="5"/>
    </row>
    <row r="30" spans="1:9" ht="15.75" customHeight="1" x14ac:dyDescent="0.15">
      <c r="A30" s="4"/>
      <c r="B30" s="4"/>
      <c r="C30" s="4"/>
      <c r="D30" s="5"/>
      <c r="E30" s="5"/>
    </row>
    <row r="31" spans="1:9" ht="15.75" customHeight="1" x14ac:dyDescent="0.15">
      <c r="A31" s="10" t="s">
        <v>40</v>
      </c>
      <c r="B31" s="4"/>
      <c r="C31" s="4"/>
      <c r="D31" s="5"/>
      <c r="E31" s="3">
        <f>SUM(E10:E30)</f>
        <v>0.01</v>
      </c>
    </row>
    <row r="37" spans="9:9" ht="15.75" customHeight="1" x14ac:dyDescent="0.15">
      <c r="I37" s="15"/>
    </row>
  </sheetData>
  <mergeCells count="1">
    <mergeCell ref="A1:L1"/>
  </mergeCells>
  <dataValidations count="4">
    <dataValidation type="list" allowBlank="1" showErrorMessage="1" sqref="A4:A6" xr:uid="{00000000-0002-0000-0400-000000000000}">
      <formula1>"Salary,Other,VA"</formula1>
    </dataValidation>
    <dataValidation type="list" allowBlank="1" showErrorMessage="1" sqref="B10:B30" xr:uid="{00000000-0002-0000-0400-000001000000}">
      <formula1>"Need,Want,Saving"</formula1>
    </dataValidation>
    <dataValidation type="list" allowBlank="1" showErrorMessage="1" sqref="A10:A30" xr:uid="{00000000-0002-0000-0400-000002000000}">
      <formula1>"Rent,Phone Bill,Wifi,Insurance,Subscriptions,Gas,Groceries,Eating Out,Entertainment,Gaming,Shopping,Savings"</formula1>
    </dataValidation>
    <dataValidation type="list" allowBlank="1" showErrorMessage="1" sqref="D10:D30" xr:uid="{00000000-0002-0000-0400-000003000000}">
      <formula1>"Fixed,Variable"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3C78D8"/>
    <outlinePr summaryBelow="0" summaryRight="0"/>
  </sheetPr>
  <dimension ref="A1:AA37"/>
  <sheetViews>
    <sheetView showGridLines="0" workbookViewId="0">
      <pane ySplit="1" topLeftCell="A2" activePane="bottomLeft" state="frozen"/>
      <selection pane="bottomLeft" activeCell="AB8" sqref="AB8"/>
    </sheetView>
  </sheetViews>
  <sheetFormatPr baseColWidth="10" defaultColWidth="12.6640625" defaultRowHeight="15.75" customHeight="1" x14ac:dyDescent="0.15"/>
  <cols>
    <col min="1" max="1" width="17.6640625" customWidth="1"/>
    <col min="2" max="2" width="16.5" customWidth="1"/>
    <col min="3" max="3" width="16.6640625" customWidth="1"/>
    <col min="4" max="4" width="10.6640625" customWidth="1"/>
    <col min="5" max="5" width="15.1640625" customWidth="1"/>
    <col min="7" max="7" width="9.33203125" customWidth="1"/>
    <col min="8" max="8" width="25" customWidth="1"/>
    <col min="13" max="27" width="12.6640625" hidden="1"/>
  </cols>
  <sheetData>
    <row r="1" spans="1:12" ht="27" customHeight="1" x14ac:dyDescent="0.35">
      <c r="A1" s="16" t="s">
        <v>49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3" spans="1:12" ht="15.75" customHeight="1" x14ac:dyDescent="0.15">
      <c r="A3" s="1" t="s">
        <v>50</v>
      </c>
      <c r="B3" s="2" t="s">
        <v>2</v>
      </c>
      <c r="C3" s="2" t="s">
        <v>3</v>
      </c>
      <c r="H3" s="2" t="s">
        <v>4</v>
      </c>
      <c r="I3" s="3">
        <f>SUMIF(D10:D30, "Fixed", E10:E30)</f>
        <v>0</v>
      </c>
    </row>
    <row r="4" spans="1:12" ht="15.75" customHeight="1" x14ac:dyDescent="0.15">
      <c r="A4" s="4" t="s">
        <v>5</v>
      </c>
      <c r="B4" s="5"/>
      <c r="C4" s="6"/>
      <c r="E4" s="7" t="s">
        <v>6</v>
      </c>
      <c r="F4" s="8">
        <f>B7-E31</f>
        <v>-0.01</v>
      </c>
      <c r="H4" s="2" t="s">
        <v>7</v>
      </c>
      <c r="I4" s="3">
        <f>SUMIF(D10:D30, "Variable", E10:E30)</f>
        <v>0</v>
      </c>
    </row>
    <row r="5" spans="1:12" ht="15.75" customHeight="1" x14ac:dyDescent="0.15">
      <c r="A5" s="4" t="s">
        <v>8</v>
      </c>
      <c r="B5" s="5"/>
      <c r="C5" s="6"/>
      <c r="E5" s="7" t="s">
        <v>9</v>
      </c>
      <c r="F5" s="9">
        <f>IF(B7=0,0,F4/B7)</f>
        <v>0</v>
      </c>
      <c r="H5" s="2" t="s">
        <v>10</v>
      </c>
      <c r="I5" s="3">
        <f>SUM(E31:E1000)</f>
        <v>0.01</v>
      </c>
    </row>
    <row r="6" spans="1:12" ht="15.75" customHeight="1" x14ac:dyDescent="0.15">
      <c r="A6" s="4" t="s">
        <v>11</v>
      </c>
      <c r="B6" s="5"/>
      <c r="C6" s="6"/>
    </row>
    <row r="7" spans="1:12" ht="15.75" customHeight="1" x14ac:dyDescent="0.15">
      <c r="A7" s="10" t="s">
        <v>12</v>
      </c>
      <c r="B7" s="3">
        <f>SUM(B4:B6)</f>
        <v>0</v>
      </c>
      <c r="C7" s="6"/>
    </row>
    <row r="9" spans="1:12" ht="15.75" customHeight="1" x14ac:dyDescent="0.15">
      <c r="A9" s="2" t="s">
        <v>13</v>
      </c>
      <c r="B9" s="2" t="s">
        <v>14</v>
      </c>
      <c r="C9" s="2" t="s">
        <v>15</v>
      </c>
      <c r="D9" s="2" t="s">
        <v>16</v>
      </c>
      <c r="E9" s="2" t="s">
        <v>2</v>
      </c>
      <c r="H9" s="11" t="s">
        <v>17</v>
      </c>
      <c r="I9" s="12">
        <f>B7 * 0.3</f>
        <v>0</v>
      </c>
    </row>
    <row r="10" spans="1:12" ht="15.75" customHeight="1" x14ac:dyDescent="0.15">
      <c r="A10" s="4"/>
      <c r="B10" s="4"/>
      <c r="C10" s="4"/>
      <c r="D10" s="5"/>
      <c r="E10" s="5">
        <v>0.01</v>
      </c>
      <c r="H10" s="11" t="s">
        <v>21</v>
      </c>
      <c r="I10" s="12">
        <f>SUMIF(B10:B1000, "Need", E10:E1000)</f>
        <v>0</v>
      </c>
    </row>
    <row r="11" spans="1:12" ht="15.75" customHeight="1" x14ac:dyDescent="0.15">
      <c r="A11" s="4"/>
      <c r="B11" s="4"/>
      <c r="C11" s="4"/>
      <c r="D11" s="5"/>
      <c r="E11" s="5"/>
      <c r="H11" s="11" t="s">
        <v>26</v>
      </c>
      <c r="I11" s="13" t="e">
        <f>I10/ B7</f>
        <v>#DIV/0!</v>
      </c>
    </row>
    <row r="12" spans="1:12" ht="15.75" customHeight="1" x14ac:dyDescent="0.15">
      <c r="A12" s="4"/>
      <c r="B12" s="4"/>
      <c r="C12" s="4"/>
      <c r="D12" s="5"/>
      <c r="E12" s="5"/>
      <c r="F12" s="14"/>
      <c r="H12" s="14"/>
      <c r="I12" s="14"/>
    </row>
    <row r="13" spans="1:12" ht="15.75" customHeight="1" x14ac:dyDescent="0.15">
      <c r="A13" s="4"/>
      <c r="B13" s="4"/>
      <c r="C13" s="4"/>
      <c r="D13" s="5"/>
      <c r="E13" s="5"/>
      <c r="F13" s="14"/>
      <c r="H13" s="11" t="s">
        <v>30</v>
      </c>
      <c r="I13" s="12">
        <f>B7 * 0.2</f>
        <v>0</v>
      </c>
    </row>
    <row r="14" spans="1:12" ht="15.75" customHeight="1" x14ac:dyDescent="0.15">
      <c r="A14" s="4"/>
      <c r="B14" s="4"/>
      <c r="C14" s="4"/>
      <c r="D14" s="5"/>
      <c r="E14" s="5"/>
      <c r="F14" s="14"/>
      <c r="H14" s="11" t="s">
        <v>33</v>
      </c>
      <c r="I14" s="12">
        <f>SUMIF(B10:B1000, "Want", E10:E1000)</f>
        <v>0</v>
      </c>
    </row>
    <row r="15" spans="1:12" ht="15.75" customHeight="1" x14ac:dyDescent="0.15">
      <c r="A15" s="4"/>
      <c r="B15" s="4"/>
      <c r="C15" s="4"/>
      <c r="D15" s="5"/>
      <c r="E15" s="5"/>
      <c r="F15" s="14"/>
      <c r="H15" s="11" t="s">
        <v>26</v>
      </c>
      <c r="I15" s="13" t="e">
        <f>I14/B7</f>
        <v>#DIV/0!</v>
      </c>
    </row>
    <row r="16" spans="1:12" ht="15.75" customHeight="1" x14ac:dyDescent="0.15">
      <c r="A16" s="4"/>
      <c r="B16" s="4"/>
      <c r="C16" s="4"/>
      <c r="D16" s="5"/>
      <c r="E16" s="5"/>
      <c r="F16" s="14"/>
      <c r="H16" s="14"/>
      <c r="I16" s="14"/>
    </row>
    <row r="17" spans="1:9" ht="15.75" customHeight="1" x14ac:dyDescent="0.15">
      <c r="A17" s="4"/>
      <c r="B17" s="4"/>
      <c r="C17" s="4"/>
      <c r="D17" s="5"/>
      <c r="E17" s="5"/>
      <c r="F17" s="14"/>
      <c r="H17" s="11" t="s">
        <v>38</v>
      </c>
      <c r="I17" s="12">
        <f>B7 * 0.5</f>
        <v>0</v>
      </c>
    </row>
    <row r="18" spans="1:9" ht="15.75" customHeight="1" x14ac:dyDescent="0.15">
      <c r="A18" s="4"/>
      <c r="B18" s="4"/>
      <c r="C18" s="4"/>
      <c r="D18" s="5"/>
      <c r="E18" s="5"/>
      <c r="F18" s="14"/>
      <c r="H18" s="11" t="s">
        <v>39</v>
      </c>
      <c r="I18" s="12">
        <f>SUMIF(B10:B1000, "Saving", E10:E1000)</f>
        <v>0</v>
      </c>
    </row>
    <row r="19" spans="1:9" ht="15.75" customHeight="1" x14ac:dyDescent="0.15">
      <c r="A19" s="4"/>
      <c r="B19" s="4"/>
      <c r="C19" s="4"/>
      <c r="D19" s="5"/>
      <c r="E19" s="5"/>
      <c r="F19" s="14"/>
      <c r="H19" s="11" t="s">
        <v>26</v>
      </c>
      <c r="I19" s="13" t="e">
        <f>I18/ B7</f>
        <v>#DIV/0!</v>
      </c>
    </row>
    <row r="20" spans="1:9" ht="15.75" customHeight="1" x14ac:dyDescent="0.15">
      <c r="A20" s="4"/>
      <c r="B20" s="4"/>
      <c r="C20" s="4"/>
      <c r="D20" s="5"/>
      <c r="E20" s="5"/>
      <c r="F20" s="14"/>
      <c r="H20" s="14"/>
      <c r="I20" s="14"/>
    </row>
    <row r="21" spans="1:9" ht="15.75" customHeight="1" x14ac:dyDescent="0.15">
      <c r="A21" s="4"/>
      <c r="B21" s="4"/>
      <c r="C21" s="4"/>
      <c r="D21" s="5"/>
      <c r="E21" s="5"/>
      <c r="F21" s="14"/>
      <c r="G21" s="14"/>
      <c r="H21" s="14"/>
      <c r="I21" s="14"/>
    </row>
    <row r="22" spans="1:9" ht="15.75" customHeight="1" x14ac:dyDescent="0.15">
      <c r="A22" s="4"/>
      <c r="B22" s="4"/>
      <c r="C22" s="4"/>
      <c r="D22" s="5"/>
      <c r="E22" s="5"/>
      <c r="F22" s="14"/>
      <c r="G22" s="14"/>
      <c r="H22" s="14"/>
      <c r="I22" s="14"/>
    </row>
    <row r="23" spans="1:9" ht="15.75" customHeight="1" x14ac:dyDescent="0.15">
      <c r="A23" s="4"/>
      <c r="B23" s="4"/>
      <c r="C23" s="4"/>
      <c r="D23" s="5"/>
      <c r="E23" s="5"/>
      <c r="F23" s="14"/>
      <c r="G23" s="14"/>
      <c r="H23" s="14"/>
      <c r="I23" s="14"/>
    </row>
    <row r="24" spans="1:9" ht="15.75" customHeight="1" x14ac:dyDescent="0.15">
      <c r="A24" s="4"/>
      <c r="B24" s="4"/>
      <c r="C24" s="4"/>
      <c r="D24" s="5"/>
      <c r="E24" s="5"/>
      <c r="F24" s="14"/>
      <c r="G24" s="14"/>
      <c r="H24" s="14"/>
      <c r="I24" s="14"/>
    </row>
    <row r="25" spans="1:9" ht="15.75" customHeight="1" x14ac:dyDescent="0.15">
      <c r="A25" s="4"/>
      <c r="B25" s="4"/>
      <c r="C25" s="4"/>
      <c r="D25" s="5"/>
      <c r="E25" s="5"/>
      <c r="F25" s="14"/>
      <c r="G25" s="14"/>
      <c r="H25" s="14"/>
    </row>
    <row r="26" spans="1:9" ht="15.75" customHeight="1" x14ac:dyDescent="0.15">
      <c r="A26" s="4"/>
      <c r="B26" s="4"/>
      <c r="C26" s="4"/>
      <c r="D26" s="5"/>
      <c r="E26" s="5"/>
      <c r="F26" s="14"/>
      <c r="H26" s="14"/>
    </row>
    <row r="27" spans="1:9" ht="15.75" customHeight="1" x14ac:dyDescent="0.15">
      <c r="A27" s="4"/>
      <c r="B27" s="4"/>
      <c r="C27" s="4"/>
      <c r="D27" s="5"/>
      <c r="E27" s="5"/>
      <c r="F27" s="14"/>
    </row>
    <row r="28" spans="1:9" ht="15.75" customHeight="1" x14ac:dyDescent="0.15">
      <c r="A28" s="4"/>
      <c r="B28" s="4"/>
      <c r="C28" s="4"/>
      <c r="D28" s="5"/>
      <c r="E28" s="5"/>
    </row>
    <row r="29" spans="1:9" ht="15.75" customHeight="1" x14ac:dyDescent="0.15">
      <c r="A29" s="4"/>
      <c r="B29" s="4"/>
      <c r="C29" s="4"/>
      <c r="D29" s="5"/>
      <c r="E29" s="5"/>
    </row>
    <row r="30" spans="1:9" ht="15.75" customHeight="1" x14ac:dyDescent="0.15">
      <c r="A30" s="4"/>
      <c r="B30" s="4"/>
      <c r="C30" s="4"/>
      <c r="D30" s="5"/>
      <c r="E30" s="5"/>
    </row>
    <row r="31" spans="1:9" ht="15.75" customHeight="1" x14ac:dyDescent="0.15">
      <c r="A31" s="10" t="s">
        <v>40</v>
      </c>
      <c r="B31" s="4"/>
      <c r="C31" s="4"/>
      <c r="D31" s="5"/>
      <c r="E31" s="3">
        <f>SUM(E10:E30)</f>
        <v>0.01</v>
      </c>
    </row>
    <row r="37" spans="9:9" ht="15.75" customHeight="1" x14ac:dyDescent="0.15">
      <c r="I37" s="15"/>
    </row>
  </sheetData>
  <mergeCells count="1">
    <mergeCell ref="A1:L1"/>
  </mergeCells>
  <dataValidations count="4">
    <dataValidation type="list" allowBlank="1" showErrorMessage="1" sqref="A4:A6" xr:uid="{00000000-0002-0000-0500-000000000000}">
      <formula1>"Salary,Other,VA"</formula1>
    </dataValidation>
    <dataValidation type="list" allowBlank="1" showErrorMessage="1" sqref="B10:B30" xr:uid="{00000000-0002-0000-0500-000001000000}">
      <formula1>"Need,Want,Saving"</formula1>
    </dataValidation>
    <dataValidation type="list" allowBlank="1" showErrorMessage="1" sqref="A10:A30" xr:uid="{00000000-0002-0000-0500-000002000000}">
      <formula1>"Rent,Phone Bill,Wifi,Insurance,Subscriptions,Gas,Groceries,Eating Out,Entertainment,Gaming,Shopping,Savings"</formula1>
    </dataValidation>
    <dataValidation type="list" allowBlank="1" showErrorMessage="1" sqref="D10:D30" xr:uid="{00000000-0002-0000-0500-000003000000}">
      <formula1>"Fixed,Variable"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3C78D8"/>
    <outlinePr summaryBelow="0" summaryRight="0"/>
  </sheetPr>
  <dimension ref="A1:AA37"/>
  <sheetViews>
    <sheetView showGridLines="0" workbookViewId="0">
      <pane ySplit="1" topLeftCell="A2" activePane="bottomLeft" state="frozen"/>
      <selection pane="bottomLeft" activeCell="L7" sqref="L7"/>
    </sheetView>
  </sheetViews>
  <sheetFormatPr baseColWidth="10" defaultColWidth="12.6640625" defaultRowHeight="15.75" customHeight="1" x14ac:dyDescent="0.15"/>
  <cols>
    <col min="1" max="1" width="17.6640625" customWidth="1"/>
    <col min="2" max="2" width="16.5" customWidth="1"/>
    <col min="3" max="3" width="16.6640625" customWidth="1"/>
    <col min="4" max="4" width="10.6640625" customWidth="1"/>
    <col min="5" max="5" width="15.1640625" customWidth="1"/>
    <col min="7" max="7" width="9.33203125" customWidth="1"/>
    <col min="8" max="8" width="25" customWidth="1"/>
    <col min="13" max="27" width="12.6640625" hidden="1"/>
  </cols>
  <sheetData>
    <row r="1" spans="1:12" ht="27" customHeight="1" x14ac:dyDescent="0.35">
      <c r="A1" s="16" t="s">
        <v>51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3" spans="1:12" ht="15.75" customHeight="1" x14ac:dyDescent="0.15">
      <c r="A3" s="1" t="s">
        <v>52</v>
      </c>
      <c r="B3" s="2" t="s">
        <v>2</v>
      </c>
      <c r="C3" s="2" t="s">
        <v>3</v>
      </c>
      <c r="H3" s="2" t="s">
        <v>4</v>
      </c>
      <c r="I3" s="3">
        <f>SUMIF(D10:D30, "Fixed", E10:E30)</f>
        <v>0</v>
      </c>
    </row>
    <row r="4" spans="1:12" ht="15.75" customHeight="1" x14ac:dyDescent="0.15">
      <c r="A4" s="4" t="s">
        <v>5</v>
      </c>
      <c r="B4" s="5"/>
      <c r="C4" s="6"/>
      <c r="E4" s="7" t="s">
        <v>6</v>
      </c>
      <c r="F4" s="8">
        <f>B7-E31</f>
        <v>-0.01</v>
      </c>
      <c r="H4" s="2" t="s">
        <v>7</v>
      </c>
      <c r="I4" s="3">
        <f>SUMIF(D10:D30, "Variable", E10:E30)</f>
        <v>0</v>
      </c>
    </row>
    <row r="5" spans="1:12" ht="15.75" customHeight="1" x14ac:dyDescent="0.15">
      <c r="A5" s="4" t="s">
        <v>8</v>
      </c>
      <c r="B5" s="5"/>
      <c r="C5" s="6"/>
      <c r="E5" s="7" t="s">
        <v>9</v>
      </c>
      <c r="F5" s="9">
        <f>IF(B7=0,0,F4/B7)</f>
        <v>0</v>
      </c>
      <c r="H5" s="2" t="s">
        <v>10</v>
      </c>
      <c r="I5" s="3">
        <f>SUM(E31:E1000)</f>
        <v>0.01</v>
      </c>
    </row>
    <row r="6" spans="1:12" ht="15.75" customHeight="1" x14ac:dyDescent="0.15">
      <c r="A6" s="4" t="s">
        <v>11</v>
      </c>
      <c r="B6" s="5"/>
      <c r="C6" s="6"/>
    </row>
    <row r="7" spans="1:12" ht="15.75" customHeight="1" x14ac:dyDescent="0.15">
      <c r="A7" s="10" t="s">
        <v>12</v>
      </c>
      <c r="B7" s="3">
        <f>SUM(B4:B6)</f>
        <v>0</v>
      </c>
      <c r="C7" s="6"/>
    </row>
    <row r="9" spans="1:12" ht="15.75" customHeight="1" x14ac:dyDescent="0.15">
      <c r="A9" s="2" t="s">
        <v>13</v>
      </c>
      <c r="B9" s="2" t="s">
        <v>14</v>
      </c>
      <c r="C9" s="2" t="s">
        <v>15</v>
      </c>
      <c r="D9" s="2" t="s">
        <v>16</v>
      </c>
      <c r="E9" s="2" t="s">
        <v>2</v>
      </c>
      <c r="H9" s="11" t="s">
        <v>17</v>
      </c>
      <c r="I9" s="12">
        <f>B7 * 0.3</f>
        <v>0</v>
      </c>
    </row>
    <row r="10" spans="1:12" ht="15.75" customHeight="1" x14ac:dyDescent="0.15">
      <c r="A10" s="4"/>
      <c r="B10" s="4"/>
      <c r="C10" s="4"/>
      <c r="D10" s="5"/>
      <c r="E10" s="5">
        <v>0.01</v>
      </c>
      <c r="H10" s="11" t="s">
        <v>21</v>
      </c>
      <c r="I10" s="12">
        <f>SUMIF(B10:B1000, "Need", E10:E1000)</f>
        <v>0</v>
      </c>
    </row>
    <row r="11" spans="1:12" ht="15.75" customHeight="1" x14ac:dyDescent="0.15">
      <c r="A11" s="4"/>
      <c r="B11" s="4"/>
      <c r="C11" s="4"/>
      <c r="D11" s="5"/>
      <c r="E11" s="5"/>
      <c r="H11" s="11" t="s">
        <v>26</v>
      </c>
      <c r="I11" s="13" t="e">
        <f>I10/ B7</f>
        <v>#DIV/0!</v>
      </c>
    </row>
    <row r="12" spans="1:12" ht="15.75" customHeight="1" x14ac:dyDescent="0.15">
      <c r="A12" s="4"/>
      <c r="B12" s="4"/>
      <c r="C12" s="4"/>
      <c r="D12" s="5"/>
      <c r="E12" s="5"/>
      <c r="F12" s="14"/>
      <c r="H12" s="14"/>
      <c r="I12" s="14"/>
    </row>
    <row r="13" spans="1:12" ht="15.75" customHeight="1" x14ac:dyDescent="0.15">
      <c r="A13" s="4"/>
      <c r="B13" s="4"/>
      <c r="C13" s="4"/>
      <c r="D13" s="5"/>
      <c r="E13" s="5"/>
      <c r="F13" s="14"/>
      <c r="H13" s="11" t="s">
        <v>30</v>
      </c>
      <c r="I13" s="12">
        <f>B7 * 0.2</f>
        <v>0</v>
      </c>
    </row>
    <row r="14" spans="1:12" ht="15.75" customHeight="1" x14ac:dyDescent="0.15">
      <c r="A14" s="4"/>
      <c r="B14" s="4"/>
      <c r="C14" s="4"/>
      <c r="D14" s="5"/>
      <c r="E14" s="5"/>
      <c r="F14" s="14"/>
      <c r="H14" s="11" t="s">
        <v>33</v>
      </c>
      <c r="I14" s="12">
        <f>SUMIF(B10:B1000, "Want", E10:E1000)</f>
        <v>0</v>
      </c>
    </row>
    <row r="15" spans="1:12" ht="15.75" customHeight="1" x14ac:dyDescent="0.15">
      <c r="A15" s="4"/>
      <c r="B15" s="4"/>
      <c r="C15" s="4"/>
      <c r="D15" s="5"/>
      <c r="E15" s="5"/>
      <c r="F15" s="14"/>
      <c r="H15" s="11" t="s">
        <v>26</v>
      </c>
      <c r="I15" s="13" t="e">
        <f>I14/B7</f>
        <v>#DIV/0!</v>
      </c>
    </row>
    <row r="16" spans="1:12" ht="15.75" customHeight="1" x14ac:dyDescent="0.15">
      <c r="A16" s="4"/>
      <c r="B16" s="4"/>
      <c r="C16" s="4"/>
      <c r="D16" s="5"/>
      <c r="E16" s="5"/>
      <c r="F16" s="14"/>
      <c r="H16" s="14"/>
      <c r="I16" s="14"/>
    </row>
    <row r="17" spans="1:9" ht="15.75" customHeight="1" x14ac:dyDescent="0.15">
      <c r="A17" s="4"/>
      <c r="B17" s="4"/>
      <c r="C17" s="4"/>
      <c r="D17" s="5"/>
      <c r="E17" s="5"/>
      <c r="F17" s="14"/>
      <c r="H17" s="11" t="s">
        <v>38</v>
      </c>
      <c r="I17" s="12">
        <f>B7 * 0.5</f>
        <v>0</v>
      </c>
    </row>
    <row r="18" spans="1:9" ht="15.75" customHeight="1" x14ac:dyDescent="0.15">
      <c r="A18" s="4"/>
      <c r="B18" s="4"/>
      <c r="C18" s="4"/>
      <c r="D18" s="5"/>
      <c r="E18" s="5"/>
      <c r="F18" s="14"/>
      <c r="H18" s="11" t="s">
        <v>39</v>
      </c>
      <c r="I18" s="12">
        <f>SUMIF(B10:B1000, "Saving", E10:E1000)</f>
        <v>0</v>
      </c>
    </row>
    <row r="19" spans="1:9" ht="15.75" customHeight="1" x14ac:dyDescent="0.15">
      <c r="A19" s="4"/>
      <c r="B19" s="4"/>
      <c r="C19" s="4"/>
      <c r="D19" s="5"/>
      <c r="E19" s="5"/>
      <c r="F19" s="14"/>
      <c r="H19" s="11" t="s">
        <v>26</v>
      </c>
      <c r="I19" s="13" t="e">
        <f>I18/ B7</f>
        <v>#DIV/0!</v>
      </c>
    </row>
    <row r="20" spans="1:9" ht="15.75" customHeight="1" x14ac:dyDescent="0.15">
      <c r="A20" s="4"/>
      <c r="B20" s="4"/>
      <c r="C20" s="4"/>
      <c r="D20" s="5"/>
      <c r="E20" s="5"/>
      <c r="F20" s="14"/>
      <c r="H20" s="14"/>
      <c r="I20" s="14"/>
    </row>
    <row r="21" spans="1:9" ht="15.75" customHeight="1" x14ac:dyDescent="0.15">
      <c r="A21" s="4"/>
      <c r="B21" s="4"/>
      <c r="C21" s="4"/>
      <c r="D21" s="5"/>
      <c r="E21" s="5"/>
      <c r="F21" s="14"/>
      <c r="G21" s="14"/>
      <c r="H21" s="14"/>
      <c r="I21" s="14"/>
    </row>
    <row r="22" spans="1:9" ht="15.75" customHeight="1" x14ac:dyDescent="0.15">
      <c r="A22" s="4"/>
      <c r="B22" s="4"/>
      <c r="C22" s="4"/>
      <c r="D22" s="5"/>
      <c r="E22" s="5"/>
      <c r="F22" s="14"/>
      <c r="G22" s="14"/>
      <c r="H22" s="14"/>
      <c r="I22" s="14"/>
    </row>
    <row r="23" spans="1:9" ht="15.75" customHeight="1" x14ac:dyDescent="0.15">
      <c r="A23" s="4"/>
      <c r="B23" s="4"/>
      <c r="C23" s="4"/>
      <c r="D23" s="5"/>
      <c r="E23" s="5"/>
      <c r="F23" s="14"/>
      <c r="G23" s="14"/>
      <c r="H23" s="14"/>
      <c r="I23" s="14"/>
    </row>
    <row r="24" spans="1:9" ht="15.75" customHeight="1" x14ac:dyDescent="0.15">
      <c r="A24" s="4"/>
      <c r="B24" s="4"/>
      <c r="C24" s="4"/>
      <c r="D24" s="5"/>
      <c r="E24" s="5"/>
      <c r="F24" s="14"/>
      <c r="G24" s="14"/>
      <c r="H24" s="14"/>
      <c r="I24" s="14"/>
    </row>
    <row r="25" spans="1:9" ht="15.75" customHeight="1" x14ac:dyDescent="0.15">
      <c r="A25" s="4"/>
      <c r="B25" s="4"/>
      <c r="C25" s="4"/>
      <c r="D25" s="5"/>
      <c r="E25" s="5"/>
      <c r="F25" s="14"/>
      <c r="G25" s="14"/>
      <c r="H25" s="14"/>
    </row>
    <row r="26" spans="1:9" ht="15.75" customHeight="1" x14ac:dyDescent="0.15">
      <c r="A26" s="4"/>
      <c r="B26" s="4"/>
      <c r="C26" s="4"/>
      <c r="D26" s="5"/>
      <c r="E26" s="5"/>
      <c r="F26" s="14"/>
      <c r="H26" s="14"/>
    </row>
    <row r="27" spans="1:9" ht="15.75" customHeight="1" x14ac:dyDescent="0.15">
      <c r="A27" s="4"/>
      <c r="B27" s="4"/>
      <c r="C27" s="4"/>
      <c r="D27" s="5"/>
      <c r="E27" s="5"/>
      <c r="F27" s="14"/>
    </row>
    <row r="28" spans="1:9" ht="15.75" customHeight="1" x14ac:dyDescent="0.15">
      <c r="A28" s="4"/>
      <c r="B28" s="4"/>
      <c r="C28" s="4"/>
      <c r="D28" s="5"/>
      <c r="E28" s="5"/>
    </row>
    <row r="29" spans="1:9" ht="15.75" customHeight="1" x14ac:dyDescent="0.15">
      <c r="A29" s="4"/>
      <c r="B29" s="4"/>
      <c r="C29" s="4"/>
      <c r="D29" s="5"/>
      <c r="E29" s="5"/>
    </row>
    <row r="30" spans="1:9" ht="15.75" customHeight="1" x14ac:dyDescent="0.15">
      <c r="A30" s="4"/>
      <c r="B30" s="4"/>
      <c r="C30" s="4"/>
      <c r="D30" s="5"/>
      <c r="E30" s="5"/>
    </row>
    <row r="31" spans="1:9" ht="15.75" customHeight="1" x14ac:dyDescent="0.15">
      <c r="A31" s="10" t="s">
        <v>40</v>
      </c>
      <c r="B31" s="4"/>
      <c r="C31" s="4"/>
      <c r="D31" s="5"/>
      <c r="E31" s="3">
        <f>SUM(E10:E30)</f>
        <v>0.01</v>
      </c>
    </row>
    <row r="37" spans="9:9" ht="15.75" customHeight="1" x14ac:dyDescent="0.15">
      <c r="I37" s="15"/>
    </row>
  </sheetData>
  <mergeCells count="1">
    <mergeCell ref="A1:L1"/>
  </mergeCells>
  <dataValidations count="4">
    <dataValidation type="list" allowBlank="1" showErrorMessage="1" sqref="A4:A6" xr:uid="{00000000-0002-0000-0600-000000000000}">
      <formula1>"Salary,Other,VA"</formula1>
    </dataValidation>
    <dataValidation type="list" allowBlank="1" showErrorMessage="1" sqref="B10:B30" xr:uid="{00000000-0002-0000-0600-000001000000}">
      <formula1>"Need,Want,Saving"</formula1>
    </dataValidation>
    <dataValidation type="list" allowBlank="1" showErrorMessage="1" sqref="A10:A30" xr:uid="{00000000-0002-0000-0600-000002000000}">
      <formula1>"Rent,Phone Bill,Wifi,Insurance,Subscriptions,Gas,Groceries,Eating Out,Entertainment,Gaming,Shopping,Savings"</formula1>
    </dataValidation>
    <dataValidation type="list" allowBlank="1" showErrorMessage="1" sqref="D10:D30" xr:uid="{00000000-0002-0000-0600-000003000000}">
      <formula1>"Fixed,Variable"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3C78D8"/>
    <outlinePr summaryBelow="0" summaryRight="0"/>
  </sheetPr>
  <dimension ref="A1:AA37"/>
  <sheetViews>
    <sheetView showGridLines="0" workbookViewId="0">
      <pane ySplit="1" topLeftCell="A2" activePane="bottomLeft" state="frozen"/>
      <selection pane="bottomLeft" sqref="A1:L1"/>
    </sheetView>
  </sheetViews>
  <sheetFormatPr baseColWidth="10" defaultColWidth="12.6640625" defaultRowHeight="15.75" customHeight="1" x14ac:dyDescent="0.15"/>
  <cols>
    <col min="1" max="1" width="17.6640625" customWidth="1"/>
    <col min="2" max="2" width="16.5" customWidth="1"/>
    <col min="3" max="3" width="16.6640625" customWidth="1"/>
    <col min="4" max="4" width="10.6640625" customWidth="1"/>
    <col min="5" max="5" width="15.1640625" customWidth="1"/>
    <col min="7" max="7" width="9.33203125" customWidth="1"/>
    <col min="8" max="8" width="25" customWidth="1"/>
    <col min="13" max="27" width="12.6640625" hidden="1"/>
  </cols>
  <sheetData>
    <row r="1" spans="1:12" ht="27" customHeight="1" x14ac:dyDescent="0.35">
      <c r="A1" s="16" t="s">
        <v>53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3" spans="1:12" ht="15.75" customHeight="1" x14ac:dyDescent="0.15">
      <c r="A3" s="1" t="s">
        <v>54</v>
      </c>
      <c r="B3" s="2" t="s">
        <v>2</v>
      </c>
      <c r="C3" s="2" t="s">
        <v>3</v>
      </c>
      <c r="H3" s="2" t="s">
        <v>4</v>
      </c>
      <c r="I3" s="3">
        <f>SUMIF(D10:D30, "Fixed", E10:E30)</f>
        <v>0</v>
      </c>
    </row>
    <row r="4" spans="1:12" ht="15.75" customHeight="1" x14ac:dyDescent="0.15">
      <c r="A4" s="4" t="s">
        <v>5</v>
      </c>
      <c r="B4" s="5"/>
      <c r="C4" s="6"/>
      <c r="E4" s="7" t="s">
        <v>6</v>
      </c>
      <c r="F4" s="8">
        <f>B7-E31</f>
        <v>-0.01</v>
      </c>
      <c r="H4" s="2" t="s">
        <v>7</v>
      </c>
      <c r="I4" s="3">
        <f>SUMIF(D10:D30, "Variable", E10:E30)</f>
        <v>0</v>
      </c>
    </row>
    <row r="5" spans="1:12" ht="15.75" customHeight="1" x14ac:dyDescent="0.15">
      <c r="A5" s="4" t="s">
        <v>8</v>
      </c>
      <c r="B5" s="5"/>
      <c r="C5" s="6"/>
      <c r="E5" s="7" t="s">
        <v>9</v>
      </c>
      <c r="F5" s="9">
        <f>IF(B7=0,0,F4/B7)</f>
        <v>0</v>
      </c>
      <c r="H5" s="2" t="s">
        <v>10</v>
      </c>
      <c r="I5" s="3">
        <f>SUM(E31:E1000)</f>
        <v>0.01</v>
      </c>
    </row>
    <row r="6" spans="1:12" ht="15.75" customHeight="1" x14ac:dyDescent="0.15">
      <c r="A6" s="4" t="s">
        <v>11</v>
      </c>
      <c r="B6" s="5"/>
      <c r="C6" s="6"/>
    </row>
    <row r="7" spans="1:12" ht="15.75" customHeight="1" x14ac:dyDescent="0.15">
      <c r="A7" s="10" t="s">
        <v>12</v>
      </c>
      <c r="B7" s="3">
        <f>SUM(B4:B6)</f>
        <v>0</v>
      </c>
      <c r="C7" s="6"/>
    </row>
    <row r="9" spans="1:12" ht="15.75" customHeight="1" x14ac:dyDescent="0.15">
      <c r="A9" s="2" t="s">
        <v>13</v>
      </c>
      <c r="B9" s="2" t="s">
        <v>14</v>
      </c>
      <c r="C9" s="2" t="s">
        <v>15</v>
      </c>
      <c r="D9" s="2" t="s">
        <v>16</v>
      </c>
      <c r="E9" s="2" t="s">
        <v>2</v>
      </c>
      <c r="H9" s="11" t="s">
        <v>17</v>
      </c>
      <c r="I9" s="12">
        <f>B7 * 0.3</f>
        <v>0</v>
      </c>
    </row>
    <row r="10" spans="1:12" ht="15.75" customHeight="1" x14ac:dyDescent="0.15">
      <c r="A10" s="4"/>
      <c r="B10" s="4"/>
      <c r="C10" s="4"/>
      <c r="D10" s="5"/>
      <c r="E10" s="5">
        <v>0.01</v>
      </c>
      <c r="H10" s="11" t="s">
        <v>21</v>
      </c>
      <c r="I10" s="12">
        <f>SUMIF(B10:B1000, "Need", E10:E1000)</f>
        <v>0</v>
      </c>
    </row>
    <row r="11" spans="1:12" ht="15.75" customHeight="1" x14ac:dyDescent="0.15">
      <c r="A11" s="4"/>
      <c r="B11" s="4"/>
      <c r="C11" s="4"/>
      <c r="D11" s="5"/>
      <c r="E11" s="5"/>
      <c r="H11" s="11" t="s">
        <v>26</v>
      </c>
      <c r="I11" s="13" t="e">
        <f>I10/ B7</f>
        <v>#DIV/0!</v>
      </c>
    </row>
    <row r="12" spans="1:12" ht="15.75" customHeight="1" x14ac:dyDescent="0.15">
      <c r="A12" s="4"/>
      <c r="B12" s="4"/>
      <c r="C12" s="4"/>
      <c r="D12" s="5"/>
      <c r="E12" s="5"/>
      <c r="F12" s="14"/>
      <c r="H12" s="14"/>
      <c r="I12" s="14"/>
    </row>
    <row r="13" spans="1:12" ht="15.75" customHeight="1" x14ac:dyDescent="0.15">
      <c r="A13" s="4"/>
      <c r="B13" s="4"/>
      <c r="C13" s="4"/>
      <c r="D13" s="5"/>
      <c r="E13" s="5"/>
      <c r="F13" s="14"/>
      <c r="H13" s="11" t="s">
        <v>30</v>
      </c>
      <c r="I13" s="12">
        <f>B7 * 0.2</f>
        <v>0</v>
      </c>
    </row>
    <row r="14" spans="1:12" ht="15.75" customHeight="1" x14ac:dyDescent="0.15">
      <c r="A14" s="4"/>
      <c r="B14" s="4"/>
      <c r="C14" s="4"/>
      <c r="D14" s="5"/>
      <c r="E14" s="5"/>
      <c r="F14" s="14"/>
      <c r="H14" s="11" t="s">
        <v>33</v>
      </c>
      <c r="I14" s="12">
        <f>SUMIF(B10:B1000, "Want", E10:E1000)</f>
        <v>0</v>
      </c>
    </row>
    <row r="15" spans="1:12" ht="15.75" customHeight="1" x14ac:dyDescent="0.15">
      <c r="A15" s="4"/>
      <c r="B15" s="4"/>
      <c r="C15" s="4"/>
      <c r="D15" s="5"/>
      <c r="E15" s="5"/>
      <c r="F15" s="14"/>
      <c r="H15" s="11" t="s">
        <v>26</v>
      </c>
      <c r="I15" s="13" t="e">
        <f>I14/B7</f>
        <v>#DIV/0!</v>
      </c>
    </row>
    <row r="16" spans="1:12" ht="15.75" customHeight="1" x14ac:dyDescent="0.15">
      <c r="A16" s="4"/>
      <c r="B16" s="4"/>
      <c r="C16" s="4"/>
      <c r="D16" s="5"/>
      <c r="E16" s="5"/>
      <c r="F16" s="14"/>
      <c r="H16" s="14"/>
      <c r="I16" s="14"/>
    </row>
    <row r="17" spans="1:9" ht="15.75" customHeight="1" x14ac:dyDescent="0.15">
      <c r="A17" s="4"/>
      <c r="B17" s="4"/>
      <c r="C17" s="4"/>
      <c r="D17" s="5"/>
      <c r="E17" s="5"/>
      <c r="F17" s="14"/>
      <c r="H17" s="11" t="s">
        <v>38</v>
      </c>
      <c r="I17" s="12">
        <f>B7 * 0.5</f>
        <v>0</v>
      </c>
    </row>
    <row r="18" spans="1:9" ht="15.75" customHeight="1" x14ac:dyDescent="0.15">
      <c r="A18" s="4"/>
      <c r="B18" s="4"/>
      <c r="C18" s="4"/>
      <c r="D18" s="5"/>
      <c r="E18" s="5"/>
      <c r="F18" s="14"/>
      <c r="H18" s="11" t="s">
        <v>39</v>
      </c>
      <c r="I18" s="12">
        <f>SUMIF(B10:B1000, "Saving", E10:E1000)</f>
        <v>0</v>
      </c>
    </row>
    <row r="19" spans="1:9" ht="15.75" customHeight="1" x14ac:dyDescent="0.15">
      <c r="A19" s="4"/>
      <c r="B19" s="4"/>
      <c r="C19" s="4"/>
      <c r="D19" s="5"/>
      <c r="E19" s="5"/>
      <c r="F19" s="14"/>
      <c r="H19" s="11" t="s">
        <v>26</v>
      </c>
      <c r="I19" s="13" t="e">
        <f>I18/ B7</f>
        <v>#DIV/0!</v>
      </c>
    </row>
    <row r="20" spans="1:9" ht="15.75" customHeight="1" x14ac:dyDescent="0.15">
      <c r="A20" s="4"/>
      <c r="B20" s="4"/>
      <c r="C20" s="4"/>
      <c r="D20" s="5"/>
      <c r="E20" s="5"/>
      <c r="F20" s="14"/>
      <c r="H20" s="14"/>
      <c r="I20" s="14"/>
    </row>
    <row r="21" spans="1:9" ht="15.75" customHeight="1" x14ac:dyDescent="0.15">
      <c r="A21" s="4"/>
      <c r="B21" s="4"/>
      <c r="C21" s="4"/>
      <c r="D21" s="5"/>
      <c r="E21" s="5"/>
      <c r="F21" s="14"/>
      <c r="G21" s="14"/>
      <c r="H21" s="14"/>
      <c r="I21" s="14"/>
    </row>
    <row r="22" spans="1:9" ht="15.75" customHeight="1" x14ac:dyDescent="0.15">
      <c r="A22" s="4"/>
      <c r="B22" s="4"/>
      <c r="C22" s="4"/>
      <c r="D22" s="5"/>
      <c r="E22" s="5"/>
      <c r="F22" s="14"/>
      <c r="G22" s="14"/>
      <c r="H22" s="14"/>
      <c r="I22" s="14"/>
    </row>
    <row r="23" spans="1:9" ht="15.75" customHeight="1" x14ac:dyDescent="0.15">
      <c r="A23" s="4"/>
      <c r="B23" s="4"/>
      <c r="C23" s="4"/>
      <c r="D23" s="5"/>
      <c r="E23" s="5"/>
      <c r="F23" s="14"/>
      <c r="G23" s="14"/>
      <c r="H23" s="14"/>
      <c r="I23" s="14"/>
    </row>
    <row r="24" spans="1:9" ht="15.75" customHeight="1" x14ac:dyDescent="0.15">
      <c r="A24" s="4"/>
      <c r="B24" s="4"/>
      <c r="C24" s="4"/>
      <c r="D24" s="5"/>
      <c r="E24" s="5"/>
      <c r="F24" s="14"/>
      <c r="G24" s="14"/>
      <c r="H24" s="14"/>
      <c r="I24" s="14"/>
    </row>
    <row r="25" spans="1:9" ht="15.75" customHeight="1" x14ac:dyDescent="0.15">
      <c r="A25" s="4"/>
      <c r="B25" s="4"/>
      <c r="C25" s="4"/>
      <c r="D25" s="5"/>
      <c r="E25" s="5"/>
      <c r="F25" s="14"/>
      <c r="G25" s="14"/>
      <c r="H25" s="14"/>
    </row>
    <row r="26" spans="1:9" ht="15.75" customHeight="1" x14ac:dyDescent="0.15">
      <c r="A26" s="4"/>
      <c r="B26" s="4"/>
      <c r="C26" s="4"/>
      <c r="D26" s="5"/>
      <c r="E26" s="5"/>
      <c r="F26" s="14"/>
      <c r="H26" s="14"/>
    </row>
    <row r="27" spans="1:9" ht="15.75" customHeight="1" x14ac:dyDescent="0.15">
      <c r="A27" s="4"/>
      <c r="B27" s="4"/>
      <c r="C27" s="4"/>
      <c r="D27" s="5"/>
      <c r="E27" s="5"/>
      <c r="F27" s="14"/>
    </row>
    <row r="28" spans="1:9" ht="15.75" customHeight="1" x14ac:dyDescent="0.15">
      <c r="A28" s="4"/>
      <c r="B28" s="4"/>
      <c r="C28" s="4"/>
      <c r="D28" s="5"/>
      <c r="E28" s="5"/>
    </row>
    <row r="29" spans="1:9" ht="15.75" customHeight="1" x14ac:dyDescent="0.15">
      <c r="A29" s="4"/>
      <c r="B29" s="4"/>
      <c r="C29" s="4"/>
      <c r="D29" s="5"/>
      <c r="E29" s="5"/>
    </row>
    <row r="30" spans="1:9" ht="15.75" customHeight="1" x14ac:dyDescent="0.15">
      <c r="A30" s="4"/>
      <c r="B30" s="4"/>
      <c r="C30" s="4"/>
      <c r="D30" s="5"/>
      <c r="E30" s="5"/>
    </row>
    <row r="31" spans="1:9" ht="15.75" customHeight="1" x14ac:dyDescent="0.15">
      <c r="A31" s="10" t="s">
        <v>40</v>
      </c>
      <c r="B31" s="4"/>
      <c r="C31" s="4"/>
      <c r="D31" s="5"/>
      <c r="E31" s="3">
        <f>SUM(E10:E30)</f>
        <v>0.01</v>
      </c>
    </row>
    <row r="37" spans="9:9" ht="15.75" customHeight="1" x14ac:dyDescent="0.15">
      <c r="I37" s="15"/>
    </row>
  </sheetData>
  <mergeCells count="1">
    <mergeCell ref="A1:L1"/>
  </mergeCells>
  <dataValidations count="4">
    <dataValidation type="list" allowBlank="1" showErrorMessage="1" sqref="A4:A6" xr:uid="{00000000-0002-0000-0700-000000000000}">
      <formula1>"Salary,Other,VA"</formula1>
    </dataValidation>
    <dataValidation type="list" allowBlank="1" showErrorMessage="1" sqref="B10:B30" xr:uid="{00000000-0002-0000-0700-000001000000}">
      <formula1>"Need,Want,Saving"</formula1>
    </dataValidation>
    <dataValidation type="list" allowBlank="1" showErrorMessage="1" sqref="A10:A30" xr:uid="{00000000-0002-0000-0700-000002000000}">
      <formula1>"Rent,Phone Bill,Wifi,Insurance,Subscriptions,Gas,Groceries,Eating Out,Entertainment,Gaming,Shopping,Savings"</formula1>
    </dataValidation>
    <dataValidation type="list" allowBlank="1" showErrorMessage="1" sqref="D10:D30" xr:uid="{00000000-0002-0000-0700-000003000000}">
      <formula1>"Fixed,Variable"</formula1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3C78D8"/>
    <outlinePr summaryBelow="0" summaryRight="0"/>
  </sheetPr>
  <dimension ref="A1:AA37"/>
  <sheetViews>
    <sheetView showGridLines="0" workbookViewId="0">
      <pane ySplit="1" topLeftCell="A2" activePane="bottomLeft" state="frozen"/>
      <selection pane="bottomLeft" activeCell="K34" sqref="K34"/>
    </sheetView>
  </sheetViews>
  <sheetFormatPr baseColWidth="10" defaultColWidth="12.6640625" defaultRowHeight="15.75" customHeight="1" x14ac:dyDescent="0.15"/>
  <cols>
    <col min="1" max="1" width="17.6640625" customWidth="1"/>
    <col min="2" max="2" width="16.5" customWidth="1"/>
    <col min="3" max="3" width="16.6640625" customWidth="1"/>
    <col min="4" max="4" width="10.6640625" customWidth="1"/>
    <col min="5" max="5" width="15.1640625" customWidth="1"/>
    <col min="7" max="7" width="9.33203125" customWidth="1"/>
    <col min="8" max="8" width="25" customWidth="1"/>
    <col min="13" max="27" width="12.6640625" hidden="1"/>
  </cols>
  <sheetData>
    <row r="1" spans="1:12" ht="27" customHeight="1" x14ac:dyDescent="0.35">
      <c r="A1" s="16" t="s">
        <v>55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3" spans="1:12" ht="15.75" customHeight="1" x14ac:dyDescent="0.15">
      <c r="A3" s="1" t="s">
        <v>56</v>
      </c>
      <c r="B3" s="2" t="s">
        <v>2</v>
      </c>
      <c r="C3" s="2" t="s">
        <v>3</v>
      </c>
      <c r="H3" s="2" t="s">
        <v>4</v>
      </c>
      <c r="I3" s="3">
        <f>SUMIF(D10:D30, "Fixed", E10:E30)</f>
        <v>0</v>
      </c>
    </row>
    <row r="4" spans="1:12" ht="15.75" customHeight="1" x14ac:dyDescent="0.15">
      <c r="A4" s="4" t="s">
        <v>5</v>
      </c>
      <c r="B4" s="5"/>
      <c r="C4" s="6"/>
      <c r="E4" s="7" t="s">
        <v>6</v>
      </c>
      <c r="F4" s="8">
        <f>B7-E31</f>
        <v>-0.01</v>
      </c>
      <c r="H4" s="2" t="s">
        <v>7</v>
      </c>
      <c r="I4" s="3">
        <f>SUMIF(D10:D30, "Variable", E10:E30)</f>
        <v>0</v>
      </c>
    </row>
    <row r="5" spans="1:12" ht="15.75" customHeight="1" x14ac:dyDescent="0.15">
      <c r="A5" s="4" t="s">
        <v>8</v>
      </c>
      <c r="B5" s="5"/>
      <c r="C5" s="6"/>
      <c r="E5" s="7" t="s">
        <v>9</v>
      </c>
      <c r="F5" s="9">
        <f>IF(B7=0,0,F4/B7)</f>
        <v>0</v>
      </c>
      <c r="H5" s="2" t="s">
        <v>10</v>
      </c>
      <c r="I5" s="3">
        <f>SUM(E31:E1000)</f>
        <v>0.01</v>
      </c>
    </row>
    <row r="6" spans="1:12" ht="15.75" customHeight="1" x14ac:dyDescent="0.15">
      <c r="A6" s="4" t="s">
        <v>11</v>
      </c>
      <c r="B6" s="5"/>
      <c r="C6" s="6"/>
    </row>
    <row r="7" spans="1:12" ht="15.75" customHeight="1" x14ac:dyDescent="0.15">
      <c r="A7" s="10" t="s">
        <v>12</v>
      </c>
      <c r="B7" s="3">
        <f>SUM(B4:B6)</f>
        <v>0</v>
      </c>
      <c r="C7" s="6"/>
    </row>
    <row r="9" spans="1:12" ht="15.75" customHeight="1" x14ac:dyDescent="0.15">
      <c r="A9" s="2" t="s">
        <v>13</v>
      </c>
      <c r="B9" s="2" t="s">
        <v>14</v>
      </c>
      <c r="C9" s="2" t="s">
        <v>15</v>
      </c>
      <c r="D9" s="2" t="s">
        <v>16</v>
      </c>
      <c r="E9" s="2" t="s">
        <v>2</v>
      </c>
      <c r="H9" s="11" t="s">
        <v>17</v>
      </c>
      <c r="I9" s="12">
        <f>B7 * 0.3</f>
        <v>0</v>
      </c>
    </row>
    <row r="10" spans="1:12" ht="15.75" customHeight="1" x14ac:dyDescent="0.15">
      <c r="A10" s="4"/>
      <c r="B10" s="4"/>
      <c r="C10" s="4"/>
      <c r="D10" s="5"/>
      <c r="E10" s="5">
        <v>0.01</v>
      </c>
      <c r="H10" s="11" t="s">
        <v>21</v>
      </c>
      <c r="I10" s="12">
        <f>SUMIF(B10:B1000, "Need", E10:E1000)</f>
        <v>0</v>
      </c>
    </row>
    <row r="11" spans="1:12" ht="15.75" customHeight="1" x14ac:dyDescent="0.15">
      <c r="A11" s="4"/>
      <c r="B11" s="4"/>
      <c r="C11" s="4"/>
      <c r="D11" s="5"/>
      <c r="E11" s="5"/>
      <c r="H11" s="11" t="s">
        <v>26</v>
      </c>
      <c r="I11" s="13" t="e">
        <f>I10/ B7</f>
        <v>#DIV/0!</v>
      </c>
    </row>
    <row r="12" spans="1:12" ht="15.75" customHeight="1" x14ac:dyDescent="0.15">
      <c r="A12" s="4"/>
      <c r="B12" s="4"/>
      <c r="C12" s="4"/>
      <c r="D12" s="5"/>
      <c r="E12" s="5"/>
      <c r="F12" s="14"/>
      <c r="H12" s="14"/>
      <c r="I12" s="14"/>
    </row>
    <row r="13" spans="1:12" ht="15.75" customHeight="1" x14ac:dyDescent="0.15">
      <c r="A13" s="4"/>
      <c r="B13" s="4"/>
      <c r="C13" s="4"/>
      <c r="D13" s="5"/>
      <c r="E13" s="5"/>
      <c r="F13" s="14"/>
      <c r="H13" s="11" t="s">
        <v>30</v>
      </c>
      <c r="I13" s="12">
        <f>B7 * 0.2</f>
        <v>0</v>
      </c>
    </row>
    <row r="14" spans="1:12" ht="15.75" customHeight="1" x14ac:dyDescent="0.15">
      <c r="A14" s="4"/>
      <c r="B14" s="4"/>
      <c r="C14" s="4"/>
      <c r="D14" s="5"/>
      <c r="E14" s="5"/>
      <c r="F14" s="14"/>
      <c r="H14" s="11" t="s">
        <v>33</v>
      </c>
      <c r="I14" s="12">
        <f>SUMIF(B10:B1000, "Want", E10:E1000)</f>
        <v>0</v>
      </c>
    </row>
    <row r="15" spans="1:12" ht="15.75" customHeight="1" x14ac:dyDescent="0.15">
      <c r="A15" s="4"/>
      <c r="B15" s="4"/>
      <c r="C15" s="4"/>
      <c r="D15" s="5"/>
      <c r="E15" s="5"/>
      <c r="F15" s="14"/>
      <c r="H15" s="11" t="s">
        <v>26</v>
      </c>
      <c r="I15" s="13" t="e">
        <f>I14/B7</f>
        <v>#DIV/0!</v>
      </c>
    </row>
    <row r="16" spans="1:12" ht="15.75" customHeight="1" x14ac:dyDescent="0.15">
      <c r="A16" s="4"/>
      <c r="B16" s="4"/>
      <c r="C16" s="4"/>
      <c r="D16" s="5"/>
      <c r="E16" s="5"/>
      <c r="F16" s="14"/>
      <c r="H16" s="14"/>
      <c r="I16" s="14"/>
    </row>
    <row r="17" spans="1:9" ht="15.75" customHeight="1" x14ac:dyDescent="0.15">
      <c r="A17" s="4"/>
      <c r="B17" s="4"/>
      <c r="C17" s="4"/>
      <c r="D17" s="5"/>
      <c r="E17" s="5"/>
      <c r="F17" s="14"/>
      <c r="H17" s="11" t="s">
        <v>38</v>
      </c>
      <c r="I17" s="12">
        <f>B7 * 0.5</f>
        <v>0</v>
      </c>
    </row>
    <row r="18" spans="1:9" ht="15.75" customHeight="1" x14ac:dyDescent="0.15">
      <c r="A18" s="4"/>
      <c r="B18" s="4"/>
      <c r="C18" s="4"/>
      <c r="D18" s="5"/>
      <c r="E18" s="5"/>
      <c r="F18" s="14"/>
      <c r="H18" s="11" t="s">
        <v>39</v>
      </c>
      <c r="I18" s="12">
        <f>SUMIF(B10:B1000, "Saving", E10:E1000)</f>
        <v>0</v>
      </c>
    </row>
    <row r="19" spans="1:9" ht="15.75" customHeight="1" x14ac:dyDescent="0.15">
      <c r="A19" s="4"/>
      <c r="B19" s="4"/>
      <c r="C19" s="4"/>
      <c r="D19" s="5"/>
      <c r="E19" s="5"/>
      <c r="F19" s="14"/>
      <c r="H19" s="11" t="s">
        <v>26</v>
      </c>
      <c r="I19" s="13" t="e">
        <f>I18/ B7</f>
        <v>#DIV/0!</v>
      </c>
    </row>
    <row r="20" spans="1:9" ht="15.75" customHeight="1" x14ac:dyDescent="0.15">
      <c r="A20" s="4"/>
      <c r="B20" s="4"/>
      <c r="C20" s="4"/>
      <c r="D20" s="5"/>
      <c r="E20" s="5"/>
      <c r="F20" s="14"/>
      <c r="H20" s="14"/>
      <c r="I20" s="14"/>
    </row>
    <row r="21" spans="1:9" ht="15.75" customHeight="1" x14ac:dyDescent="0.15">
      <c r="A21" s="4"/>
      <c r="B21" s="4"/>
      <c r="C21" s="4"/>
      <c r="D21" s="5"/>
      <c r="E21" s="5"/>
      <c r="F21" s="14"/>
      <c r="G21" s="14"/>
      <c r="H21" s="14"/>
      <c r="I21" s="14"/>
    </row>
    <row r="22" spans="1:9" ht="15.75" customHeight="1" x14ac:dyDescent="0.15">
      <c r="A22" s="4"/>
      <c r="B22" s="4"/>
      <c r="C22" s="4"/>
      <c r="D22" s="5"/>
      <c r="E22" s="5"/>
      <c r="F22" s="14"/>
      <c r="G22" s="14"/>
      <c r="H22" s="14"/>
      <c r="I22" s="14"/>
    </row>
    <row r="23" spans="1:9" ht="15.75" customHeight="1" x14ac:dyDescent="0.15">
      <c r="A23" s="4"/>
      <c r="B23" s="4"/>
      <c r="C23" s="4"/>
      <c r="D23" s="5"/>
      <c r="E23" s="5"/>
      <c r="F23" s="14"/>
      <c r="G23" s="14"/>
      <c r="H23" s="14"/>
      <c r="I23" s="14"/>
    </row>
    <row r="24" spans="1:9" ht="15.75" customHeight="1" x14ac:dyDescent="0.15">
      <c r="A24" s="4"/>
      <c r="B24" s="4"/>
      <c r="C24" s="4"/>
      <c r="D24" s="5"/>
      <c r="E24" s="5"/>
      <c r="F24" s="14"/>
      <c r="G24" s="14"/>
      <c r="H24" s="14"/>
      <c r="I24" s="14"/>
    </row>
    <row r="25" spans="1:9" ht="15.75" customHeight="1" x14ac:dyDescent="0.15">
      <c r="A25" s="4"/>
      <c r="B25" s="4"/>
      <c r="C25" s="4"/>
      <c r="D25" s="5"/>
      <c r="E25" s="5"/>
      <c r="F25" s="14"/>
      <c r="G25" s="14"/>
      <c r="H25" s="14"/>
    </row>
    <row r="26" spans="1:9" ht="15.75" customHeight="1" x14ac:dyDescent="0.15">
      <c r="A26" s="4"/>
      <c r="B26" s="4"/>
      <c r="C26" s="4"/>
      <c r="D26" s="5"/>
      <c r="E26" s="5"/>
      <c r="F26" s="14"/>
      <c r="H26" s="14"/>
    </row>
    <row r="27" spans="1:9" ht="15.75" customHeight="1" x14ac:dyDescent="0.15">
      <c r="A27" s="4"/>
      <c r="B27" s="4"/>
      <c r="C27" s="4"/>
      <c r="D27" s="5"/>
      <c r="E27" s="5"/>
      <c r="F27" s="14"/>
    </row>
    <row r="28" spans="1:9" ht="15.75" customHeight="1" x14ac:dyDescent="0.15">
      <c r="A28" s="4"/>
      <c r="B28" s="4"/>
      <c r="C28" s="4"/>
      <c r="D28" s="5"/>
      <c r="E28" s="5"/>
    </row>
    <row r="29" spans="1:9" ht="15.75" customHeight="1" x14ac:dyDescent="0.15">
      <c r="A29" s="4"/>
      <c r="B29" s="4"/>
      <c r="C29" s="4"/>
      <c r="D29" s="5"/>
      <c r="E29" s="5"/>
    </row>
    <row r="30" spans="1:9" ht="15.75" customHeight="1" x14ac:dyDescent="0.15">
      <c r="A30" s="4"/>
      <c r="B30" s="4"/>
      <c r="C30" s="4"/>
      <c r="D30" s="5"/>
      <c r="E30" s="5"/>
    </row>
    <row r="31" spans="1:9" ht="15.75" customHeight="1" x14ac:dyDescent="0.15">
      <c r="A31" s="10" t="s">
        <v>40</v>
      </c>
      <c r="B31" s="4"/>
      <c r="C31" s="4"/>
      <c r="D31" s="5"/>
      <c r="E31" s="3">
        <f>SUM(E10:E30)</f>
        <v>0.01</v>
      </c>
    </row>
    <row r="37" spans="9:9" ht="15.75" customHeight="1" x14ac:dyDescent="0.15">
      <c r="I37" s="15"/>
    </row>
  </sheetData>
  <mergeCells count="1">
    <mergeCell ref="A1:L1"/>
  </mergeCells>
  <dataValidations count="4">
    <dataValidation type="list" allowBlank="1" showErrorMessage="1" sqref="A4:A6" xr:uid="{00000000-0002-0000-0800-000000000000}">
      <formula1>"Salary,Other,VA"</formula1>
    </dataValidation>
    <dataValidation type="list" allowBlank="1" showErrorMessage="1" sqref="B10:B30" xr:uid="{00000000-0002-0000-0800-000001000000}">
      <formula1>"Need,Want,Saving"</formula1>
    </dataValidation>
    <dataValidation type="list" allowBlank="1" showErrorMessage="1" sqref="A10:A30" xr:uid="{00000000-0002-0000-0800-000002000000}">
      <formula1>"Rent,Phone Bill,Wifi,Insurance,Subscriptions,Gas,Groceries,Eating Out,Entertainment,Gaming,Shopping,Savings"</formula1>
    </dataValidation>
    <dataValidation type="list" allowBlank="1" showErrorMessage="1" sqref="D10:D30" xr:uid="{00000000-0002-0000-0800-000003000000}">
      <formula1>"Fixed,Variable"</formula1>
    </dataValidation>
  </dataValidation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3C78D8"/>
    <outlinePr summaryBelow="0" summaryRight="0"/>
  </sheetPr>
  <dimension ref="A1:AA37"/>
  <sheetViews>
    <sheetView showGridLines="0" workbookViewId="0">
      <pane ySplit="1" topLeftCell="A2" activePane="bottomLeft" state="frozen"/>
      <selection pane="bottomLeft" sqref="A1:L1"/>
    </sheetView>
  </sheetViews>
  <sheetFormatPr baseColWidth="10" defaultColWidth="12.6640625" defaultRowHeight="15.75" customHeight="1" x14ac:dyDescent="0.15"/>
  <cols>
    <col min="1" max="1" width="17.6640625" customWidth="1"/>
    <col min="2" max="2" width="16.5" customWidth="1"/>
    <col min="3" max="3" width="16.6640625" customWidth="1"/>
    <col min="4" max="4" width="10.6640625" customWidth="1"/>
    <col min="5" max="5" width="15.1640625" customWidth="1"/>
    <col min="7" max="7" width="9.33203125" customWidth="1"/>
    <col min="8" max="8" width="25" customWidth="1"/>
    <col min="13" max="27" width="12.6640625" hidden="1"/>
  </cols>
  <sheetData>
    <row r="1" spans="1:12" ht="27" customHeight="1" x14ac:dyDescent="0.35">
      <c r="A1" s="16" t="s">
        <v>57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3" spans="1:12" ht="15.75" customHeight="1" x14ac:dyDescent="0.15">
      <c r="A3" s="1" t="s">
        <v>58</v>
      </c>
      <c r="B3" s="2" t="s">
        <v>2</v>
      </c>
      <c r="C3" s="2" t="s">
        <v>3</v>
      </c>
      <c r="H3" s="2" t="s">
        <v>4</v>
      </c>
      <c r="I3" s="3">
        <f>SUMIF(D10:D30, "Fixed", E10:E30)</f>
        <v>0</v>
      </c>
    </row>
    <row r="4" spans="1:12" ht="15.75" customHeight="1" x14ac:dyDescent="0.15">
      <c r="A4" s="4" t="s">
        <v>5</v>
      </c>
      <c r="B4" s="5"/>
      <c r="C4" s="6"/>
      <c r="E4" s="7" t="s">
        <v>6</v>
      </c>
      <c r="F4" s="8">
        <f>B7-E31</f>
        <v>-0.01</v>
      </c>
      <c r="H4" s="2" t="s">
        <v>7</v>
      </c>
      <c r="I4" s="3">
        <f>SUMIF(D10:D30, "Variable", E10:E30)</f>
        <v>0</v>
      </c>
    </row>
    <row r="5" spans="1:12" ht="15.75" customHeight="1" x14ac:dyDescent="0.15">
      <c r="A5" s="4" t="s">
        <v>8</v>
      </c>
      <c r="B5" s="5"/>
      <c r="C5" s="6"/>
      <c r="E5" s="7" t="s">
        <v>9</v>
      </c>
      <c r="F5" s="9">
        <f>IF(B7=0,0,F4/B7)</f>
        <v>0</v>
      </c>
      <c r="H5" s="2" t="s">
        <v>10</v>
      </c>
      <c r="I5" s="3">
        <f>SUM(E31:E1000)</f>
        <v>0.01</v>
      </c>
    </row>
    <row r="6" spans="1:12" ht="15.75" customHeight="1" x14ac:dyDescent="0.15">
      <c r="A6" s="4" t="s">
        <v>11</v>
      </c>
      <c r="B6" s="5"/>
      <c r="C6" s="6"/>
    </row>
    <row r="7" spans="1:12" ht="15.75" customHeight="1" x14ac:dyDescent="0.15">
      <c r="A7" s="10" t="s">
        <v>12</v>
      </c>
      <c r="B7" s="3">
        <f>SUM(B4:B6)</f>
        <v>0</v>
      </c>
      <c r="C7" s="6"/>
    </row>
    <row r="9" spans="1:12" ht="15.75" customHeight="1" x14ac:dyDescent="0.15">
      <c r="A9" s="2" t="s">
        <v>13</v>
      </c>
      <c r="B9" s="2" t="s">
        <v>14</v>
      </c>
      <c r="C9" s="2" t="s">
        <v>15</v>
      </c>
      <c r="D9" s="2" t="s">
        <v>16</v>
      </c>
      <c r="E9" s="2" t="s">
        <v>2</v>
      </c>
      <c r="H9" s="11" t="s">
        <v>17</v>
      </c>
      <c r="I9" s="12">
        <f>B7 * 0.3</f>
        <v>0</v>
      </c>
    </row>
    <row r="10" spans="1:12" ht="15.75" customHeight="1" x14ac:dyDescent="0.15">
      <c r="A10" s="4"/>
      <c r="B10" s="4"/>
      <c r="C10" s="4"/>
      <c r="D10" s="5"/>
      <c r="E10" s="5">
        <v>0.01</v>
      </c>
      <c r="H10" s="11" t="s">
        <v>21</v>
      </c>
      <c r="I10" s="12">
        <f>SUMIF(B10:B1000, "Need", E10:E1000)</f>
        <v>0</v>
      </c>
    </row>
    <row r="11" spans="1:12" ht="15.75" customHeight="1" x14ac:dyDescent="0.15">
      <c r="A11" s="4"/>
      <c r="B11" s="4"/>
      <c r="C11" s="4"/>
      <c r="D11" s="5"/>
      <c r="E11" s="5"/>
      <c r="H11" s="11" t="s">
        <v>26</v>
      </c>
      <c r="I11" s="13" t="e">
        <f>I10/ B7</f>
        <v>#DIV/0!</v>
      </c>
    </row>
    <row r="12" spans="1:12" ht="15.75" customHeight="1" x14ac:dyDescent="0.15">
      <c r="A12" s="4"/>
      <c r="B12" s="4"/>
      <c r="C12" s="4"/>
      <c r="D12" s="5"/>
      <c r="E12" s="5"/>
      <c r="F12" s="14"/>
      <c r="H12" s="14"/>
      <c r="I12" s="14"/>
    </row>
    <row r="13" spans="1:12" ht="15.75" customHeight="1" x14ac:dyDescent="0.15">
      <c r="A13" s="4"/>
      <c r="B13" s="4"/>
      <c r="C13" s="4"/>
      <c r="D13" s="5"/>
      <c r="E13" s="5"/>
      <c r="F13" s="14"/>
      <c r="H13" s="11" t="s">
        <v>30</v>
      </c>
      <c r="I13" s="12">
        <f>B7 * 0.2</f>
        <v>0</v>
      </c>
    </row>
    <row r="14" spans="1:12" ht="15.75" customHeight="1" x14ac:dyDescent="0.15">
      <c r="A14" s="4"/>
      <c r="B14" s="4"/>
      <c r="C14" s="4"/>
      <c r="D14" s="5"/>
      <c r="E14" s="5"/>
      <c r="F14" s="14"/>
      <c r="H14" s="11" t="s">
        <v>33</v>
      </c>
      <c r="I14" s="12">
        <f>SUMIF(B10:B1000, "Want", E10:E1000)</f>
        <v>0</v>
      </c>
    </row>
    <row r="15" spans="1:12" ht="15.75" customHeight="1" x14ac:dyDescent="0.15">
      <c r="A15" s="4"/>
      <c r="B15" s="4"/>
      <c r="C15" s="4"/>
      <c r="D15" s="5"/>
      <c r="E15" s="5"/>
      <c r="F15" s="14"/>
      <c r="H15" s="11" t="s">
        <v>26</v>
      </c>
      <c r="I15" s="13" t="e">
        <f>I14/B7</f>
        <v>#DIV/0!</v>
      </c>
    </row>
    <row r="16" spans="1:12" ht="15.75" customHeight="1" x14ac:dyDescent="0.15">
      <c r="A16" s="4"/>
      <c r="B16" s="4"/>
      <c r="C16" s="4"/>
      <c r="D16" s="5"/>
      <c r="E16" s="5"/>
      <c r="F16" s="14"/>
      <c r="H16" s="14"/>
      <c r="I16" s="14"/>
    </row>
    <row r="17" spans="1:9" ht="15.75" customHeight="1" x14ac:dyDescent="0.15">
      <c r="A17" s="4"/>
      <c r="B17" s="4"/>
      <c r="C17" s="4"/>
      <c r="D17" s="5"/>
      <c r="E17" s="5"/>
      <c r="F17" s="14"/>
      <c r="H17" s="11" t="s">
        <v>38</v>
      </c>
      <c r="I17" s="12">
        <f>B7 * 0.5</f>
        <v>0</v>
      </c>
    </row>
    <row r="18" spans="1:9" ht="15.75" customHeight="1" x14ac:dyDescent="0.15">
      <c r="A18" s="4"/>
      <c r="B18" s="4"/>
      <c r="C18" s="4"/>
      <c r="D18" s="5"/>
      <c r="E18" s="5"/>
      <c r="F18" s="14"/>
      <c r="H18" s="11" t="s">
        <v>39</v>
      </c>
      <c r="I18" s="12">
        <f>SUMIF(B10:B1000, "Saving", E10:E1000)</f>
        <v>0</v>
      </c>
    </row>
    <row r="19" spans="1:9" ht="15.75" customHeight="1" x14ac:dyDescent="0.15">
      <c r="A19" s="4"/>
      <c r="B19" s="4"/>
      <c r="C19" s="4"/>
      <c r="D19" s="5"/>
      <c r="E19" s="5"/>
      <c r="F19" s="14"/>
      <c r="H19" s="11" t="s">
        <v>26</v>
      </c>
      <c r="I19" s="13" t="e">
        <f>I18/ B7</f>
        <v>#DIV/0!</v>
      </c>
    </row>
    <row r="20" spans="1:9" ht="15.75" customHeight="1" x14ac:dyDescent="0.15">
      <c r="A20" s="4"/>
      <c r="B20" s="4"/>
      <c r="C20" s="4"/>
      <c r="D20" s="5"/>
      <c r="E20" s="5"/>
      <c r="F20" s="14"/>
      <c r="H20" s="14"/>
      <c r="I20" s="14"/>
    </row>
    <row r="21" spans="1:9" ht="15.75" customHeight="1" x14ac:dyDescent="0.15">
      <c r="A21" s="4"/>
      <c r="B21" s="4"/>
      <c r="C21" s="4"/>
      <c r="D21" s="5"/>
      <c r="E21" s="5"/>
      <c r="F21" s="14"/>
      <c r="G21" s="14"/>
      <c r="H21" s="14"/>
      <c r="I21" s="14"/>
    </row>
    <row r="22" spans="1:9" ht="15.75" customHeight="1" x14ac:dyDescent="0.15">
      <c r="A22" s="4"/>
      <c r="B22" s="4"/>
      <c r="C22" s="4"/>
      <c r="D22" s="5"/>
      <c r="E22" s="5"/>
      <c r="F22" s="14"/>
      <c r="G22" s="14"/>
      <c r="H22" s="14"/>
      <c r="I22" s="14"/>
    </row>
    <row r="23" spans="1:9" ht="15.75" customHeight="1" x14ac:dyDescent="0.15">
      <c r="A23" s="4"/>
      <c r="B23" s="4"/>
      <c r="C23" s="4"/>
      <c r="D23" s="5"/>
      <c r="E23" s="5"/>
      <c r="F23" s="14"/>
      <c r="G23" s="14"/>
      <c r="H23" s="14"/>
      <c r="I23" s="14"/>
    </row>
    <row r="24" spans="1:9" ht="15.75" customHeight="1" x14ac:dyDescent="0.15">
      <c r="A24" s="4"/>
      <c r="B24" s="4"/>
      <c r="C24" s="4"/>
      <c r="D24" s="5"/>
      <c r="E24" s="5"/>
      <c r="F24" s="14"/>
      <c r="G24" s="14"/>
      <c r="H24" s="14"/>
      <c r="I24" s="14"/>
    </row>
    <row r="25" spans="1:9" ht="15.75" customHeight="1" x14ac:dyDescent="0.15">
      <c r="A25" s="4"/>
      <c r="B25" s="4"/>
      <c r="C25" s="4"/>
      <c r="D25" s="5"/>
      <c r="E25" s="5"/>
      <c r="F25" s="14"/>
      <c r="G25" s="14"/>
      <c r="H25" s="14"/>
    </row>
    <row r="26" spans="1:9" ht="15.75" customHeight="1" x14ac:dyDescent="0.15">
      <c r="A26" s="4"/>
      <c r="B26" s="4"/>
      <c r="C26" s="4"/>
      <c r="D26" s="5"/>
      <c r="E26" s="5"/>
      <c r="F26" s="14"/>
      <c r="H26" s="14"/>
    </row>
    <row r="27" spans="1:9" ht="15.75" customHeight="1" x14ac:dyDescent="0.15">
      <c r="A27" s="4"/>
      <c r="B27" s="4"/>
      <c r="C27" s="4"/>
      <c r="D27" s="5"/>
      <c r="E27" s="5"/>
      <c r="F27" s="14"/>
    </row>
    <row r="28" spans="1:9" ht="15.75" customHeight="1" x14ac:dyDescent="0.15">
      <c r="A28" s="4"/>
      <c r="B28" s="4"/>
      <c r="C28" s="4"/>
      <c r="D28" s="5"/>
      <c r="E28" s="5"/>
    </row>
    <row r="29" spans="1:9" ht="15.75" customHeight="1" x14ac:dyDescent="0.15">
      <c r="A29" s="4"/>
      <c r="B29" s="4"/>
      <c r="C29" s="4"/>
      <c r="D29" s="5"/>
      <c r="E29" s="5"/>
    </row>
    <row r="30" spans="1:9" ht="15.75" customHeight="1" x14ac:dyDescent="0.15">
      <c r="A30" s="4"/>
      <c r="B30" s="4"/>
      <c r="C30" s="4"/>
      <c r="D30" s="5"/>
      <c r="E30" s="5"/>
    </row>
    <row r="31" spans="1:9" ht="15.75" customHeight="1" x14ac:dyDescent="0.15">
      <c r="A31" s="10" t="s">
        <v>40</v>
      </c>
      <c r="B31" s="4"/>
      <c r="C31" s="4"/>
      <c r="D31" s="5"/>
      <c r="E31" s="3">
        <f>SUM(E10:E30)</f>
        <v>0.01</v>
      </c>
    </row>
    <row r="37" spans="9:9" ht="15.75" customHeight="1" x14ac:dyDescent="0.15">
      <c r="I37" s="15"/>
    </row>
  </sheetData>
  <mergeCells count="1">
    <mergeCell ref="A1:L1"/>
  </mergeCells>
  <dataValidations count="4">
    <dataValidation type="list" allowBlank="1" showErrorMessage="1" sqref="A4:A6" xr:uid="{00000000-0002-0000-0900-000000000000}">
      <formula1>"Salary,Other,VA"</formula1>
    </dataValidation>
    <dataValidation type="list" allowBlank="1" showErrorMessage="1" sqref="B10:B30" xr:uid="{00000000-0002-0000-0900-000001000000}">
      <formula1>"Need,Want,Saving"</formula1>
    </dataValidation>
    <dataValidation type="list" allowBlank="1" showErrorMessage="1" sqref="A10:A30" xr:uid="{00000000-0002-0000-0900-000002000000}">
      <formula1>"Rent,Phone Bill,Wifi,Insurance,Subscriptions,Gas,Groceries,Eating Out,Entertainment,Gaming,Shopping,Savings"</formula1>
    </dataValidation>
    <dataValidation type="list" allowBlank="1" showErrorMessage="1" sqref="D10:D30" xr:uid="{00000000-0002-0000-0900-000003000000}">
      <formula1>"Fixed,Variable"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3C78D8"/>
    <outlinePr summaryBelow="0" summaryRight="0"/>
  </sheetPr>
  <dimension ref="A1:AA37"/>
  <sheetViews>
    <sheetView showGridLines="0" workbookViewId="0">
      <pane ySplit="1" topLeftCell="A2" activePane="bottomLeft" state="frozen"/>
      <selection pane="bottomLeft" sqref="A1:L1"/>
    </sheetView>
  </sheetViews>
  <sheetFormatPr baseColWidth="10" defaultColWidth="12.6640625" defaultRowHeight="15.75" customHeight="1" x14ac:dyDescent="0.15"/>
  <cols>
    <col min="1" max="1" width="17.6640625" customWidth="1"/>
    <col min="2" max="2" width="16.5" customWidth="1"/>
    <col min="3" max="3" width="16.6640625" customWidth="1"/>
    <col min="4" max="4" width="10.6640625" customWidth="1"/>
    <col min="5" max="5" width="15.1640625" customWidth="1"/>
    <col min="7" max="7" width="9.33203125" customWidth="1"/>
    <col min="8" max="8" width="25" customWidth="1"/>
    <col min="13" max="27" width="12.6640625" hidden="1"/>
  </cols>
  <sheetData>
    <row r="1" spans="1:12" ht="27" customHeight="1" x14ac:dyDescent="0.35">
      <c r="A1" s="16" t="s">
        <v>59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3" spans="1:12" ht="15.75" customHeight="1" x14ac:dyDescent="0.15">
      <c r="A3" s="1" t="s">
        <v>60</v>
      </c>
      <c r="B3" s="2" t="s">
        <v>2</v>
      </c>
      <c r="C3" s="2" t="s">
        <v>3</v>
      </c>
      <c r="H3" s="2" t="s">
        <v>4</v>
      </c>
      <c r="I3" s="3">
        <f>SUMIF(D10:D30, "Fixed", E10:E30)</f>
        <v>0</v>
      </c>
    </row>
    <row r="4" spans="1:12" ht="15.75" customHeight="1" x14ac:dyDescent="0.15">
      <c r="A4" s="4" t="s">
        <v>5</v>
      </c>
      <c r="B4" s="5"/>
      <c r="C4" s="6"/>
      <c r="E4" s="7" t="s">
        <v>6</v>
      </c>
      <c r="F4" s="8">
        <f>B7-E31</f>
        <v>-0.01</v>
      </c>
      <c r="H4" s="2" t="s">
        <v>7</v>
      </c>
      <c r="I4" s="3">
        <f>SUMIF(D10:D30, "Variable", E10:E30)</f>
        <v>0</v>
      </c>
    </row>
    <row r="5" spans="1:12" ht="15.75" customHeight="1" x14ac:dyDescent="0.15">
      <c r="A5" s="4" t="s">
        <v>8</v>
      </c>
      <c r="B5" s="5"/>
      <c r="C5" s="6"/>
      <c r="E5" s="7" t="s">
        <v>9</v>
      </c>
      <c r="F5" s="9">
        <f>IF(B7=0,0,F4/B7)</f>
        <v>0</v>
      </c>
      <c r="H5" s="2" t="s">
        <v>10</v>
      </c>
      <c r="I5" s="3">
        <f>SUM(E31:E1000)</f>
        <v>0.01</v>
      </c>
    </row>
    <row r="6" spans="1:12" ht="15.75" customHeight="1" x14ac:dyDescent="0.15">
      <c r="A6" s="4" t="s">
        <v>11</v>
      </c>
      <c r="B6" s="5"/>
      <c r="C6" s="6"/>
    </row>
    <row r="7" spans="1:12" ht="15.75" customHeight="1" x14ac:dyDescent="0.15">
      <c r="A7" s="10" t="s">
        <v>12</v>
      </c>
      <c r="B7" s="3">
        <f>SUM(B4:B6)</f>
        <v>0</v>
      </c>
      <c r="C7" s="6"/>
    </row>
    <row r="9" spans="1:12" ht="15.75" customHeight="1" x14ac:dyDescent="0.15">
      <c r="A9" s="2" t="s">
        <v>13</v>
      </c>
      <c r="B9" s="2" t="s">
        <v>14</v>
      </c>
      <c r="C9" s="2" t="s">
        <v>15</v>
      </c>
      <c r="D9" s="2" t="s">
        <v>16</v>
      </c>
      <c r="E9" s="2" t="s">
        <v>2</v>
      </c>
      <c r="H9" s="11" t="s">
        <v>17</v>
      </c>
      <c r="I9" s="12">
        <f>B7 * 0.3</f>
        <v>0</v>
      </c>
    </row>
    <row r="10" spans="1:12" ht="15.75" customHeight="1" x14ac:dyDescent="0.15">
      <c r="A10" s="4"/>
      <c r="B10" s="4"/>
      <c r="C10" s="4"/>
      <c r="D10" s="5"/>
      <c r="E10" s="5">
        <v>0.01</v>
      </c>
      <c r="H10" s="11" t="s">
        <v>21</v>
      </c>
      <c r="I10" s="12">
        <f>SUMIF(B10:B1000, "Need", E10:E1000)</f>
        <v>0</v>
      </c>
    </row>
    <row r="11" spans="1:12" ht="15.75" customHeight="1" x14ac:dyDescent="0.15">
      <c r="A11" s="4"/>
      <c r="B11" s="4"/>
      <c r="C11" s="4"/>
      <c r="D11" s="5"/>
      <c r="E11" s="5"/>
      <c r="H11" s="11" t="s">
        <v>26</v>
      </c>
      <c r="I11" s="13" t="e">
        <f>I10/ B7</f>
        <v>#DIV/0!</v>
      </c>
    </row>
    <row r="12" spans="1:12" ht="15.75" customHeight="1" x14ac:dyDescent="0.15">
      <c r="A12" s="4"/>
      <c r="B12" s="4"/>
      <c r="C12" s="4"/>
      <c r="D12" s="5"/>
      <c r="E12" s="5"/>
      <c r="F12" s="14"/>
      <c r="H12" s="14"/>
      <c r="I12" s="14"/>
    </row>
    <row r="13" spans="1:12" ht="15.75" customHeight="1" x14ac:dyDescent="0.15">
      <c r="A13" s="4"/>
      <c r="B13" s="4"/>
      <c r="C13" s="4"/>
      <c r="D13" s="5"/>
      <c r="E13" s="5"/>
      <c r="F13" s="14"/>
      <c r="H13" s="11" t="s">
        <v>30</v>
      </c>
      <c r="I13" s="12">
        <f>B7 * 0.2</f>
        <v>0</v>
      </c>
    </row>
    <row r="14" spans="1:12" ht="15.75" customHeight="1" x14ac:dyDescent="0.15">
      <c r="A14" s="4"/>
      <c r="B14" s="4"/>
      <c r="C14" s="4"/>
      <c r="D14" s="5"/>
      <c r="E14" s="5"/>
      <c r="F14" s="14"/>
      <c r="H14" s="11" t="s">
        <v>33</v>
      </c>
      <c r="I14" s="12">
        <f>SUMIF(B10:B1000, "Want", E10:E1000)</f>
        <v>0</v>
      </c>
    </row>
    <row r="15" spans="1:12" ht="15.75" customHeight="1" x14ac:dyDescent="0.15">
      <c r="A15" s="4"/>
      <c r="B15" s="4"/>
      <c r="C15" s="4"/>
      <c r="D15" s="5"/>
      <c r="E15" s="5"/>
      <c r="F15" s="14"/>
      <c r="H15" s="11" t="s">
        <v>26</v>
      </c>
      <c r="I15" s="13" t="e">
        <f>I14/B7</f>
        <v>#DIV/0!</v>
      </c>
    </row>
    <row r="16" spans="1:12" ht="15.75" customHeight="1" x14ac:dyDescent="0.15">
      <c r="A16" s="4"/>
      <c r="B16" s="4"/>
      <c r="C16" s="4"/>
      <c r="D16" s="5"/>
      <c r="E16" s="5"/>
      <c r="F16" s="14"/>
      <c r="H16" s="14"/>
      <c r="I16" s="14"/>
    </row>
    <row r="17" spans="1:9" ht="15.75" customHeight="1" x14ac:dyDescent="0.15">
      <c r="A17" s="4"/>
      <c r="B17" s="4"/>
      <c r="C17" s="4"/>
      <c r="D17" s="5"/>
      <c r="E17" s="5"/>
      <c r="F17" s="14"/>
      <c r="H17" s="11" t="s">
        <v>38</v>
      </c>
      <c r="I17" s="12">
        <f>B7 * 0.5</f>
        <v>0</v>
      </c>
    </row>
    <row r="18" spans="1:9" ht="15.75" customHeight="1" x14ac:dyDescent="0.15">
      <c r="A18" s="4"/>
      <c r="B18" s="4"/>
      <c r="C18" s="4"/>
      <c r="D18" s="5"/>
      <c r="E18" s="5"/>
      <c r="F18" s="14"/>
      <c r="H18" s="11" t="s">
        <v>39</v>
      </c>
      <c r="I18" s="12">
        <f>SUMIF(B10:B1000, "Saving", E10:E1000)</f>
        <v>0</v>
      </c>
    </row>
    <row r="19" spans="1:9" ht="15.75" customHeight="1" x14ac:dyDescent="0.15">
      <c r="A19" s="4"/>
      <c r="B19" s="4"/>
      <c r="C19" s="4"/>
      <c r="D19" s="5"/>
      <c r="E19" s="5"/>
      <c r="F19" s="14"/>
      <c r="H19" s="11" t="s">
        <v>26</v>
      </c>
      <c r="I19" s="13" t="e">
        <f>I18/ B7</f>
        <v>#DIV/0!</v>
      </c>
    </row>
    <row r="20" spans="1:9" ht="15.75" customHeight="1" x14ac:dyDescent="0.15">
      <c r="A20" s="4"/>
      <c r="B20" s="4"/>
      <c r="C20" s="4"/>
      <c r="D20" s="5"/>
      <c r="E20" s="5"/>
      <c r="F20" s="14"/>
      <c r="H20" s="14"/>
      <c r="I20" s="14"/>
    </row>
    <row r="21" spans="1:9" ht="15.75" customHeight="1" x14ac:dyDescent="0.15">
      <c r="A21" s="4"/>
      <c r="B21" s="4"/>
      <c r="C21" s="4"/>
      <c r="D21" s="5"/>
      <c r="E21" s="5"/>
      <c r="F21" s="14"/>
      <c r="G21" s="14"/>
      <c r="H21" s="14"/>
      <c r="I21" s="14"/>
    </row>
    <row r="22" spans="1:9" ht="15.75" customHeight="1" x14ac:dyDescent="0.15">
      <c r="A22" s="4"/>
      <c r="B22" s="4"/>
      <c r="C22" s="4"/>
      <c r="D22" s="5"/>
      <c r="E22" s="5"/>
      <c r="F22" s="14"/>
      <c r="G22" s="14"/>
      <c r="H22" s="14"/>
      <c r="I22" s="14"/>
    </row>
    <row r="23" spans="1:9" ht="15.75" customHeight="1" x14ac:dyDescent="0.15">
      <c r="A23" s="4"/>
      <c r="B23" s="4"/>
      <c r="C23" s="4"/>
      <c r="D23" s="5"/>
      <c r="E23" s="5"/>
      <c r="F23" s="14"/>
      <c r="G23" s="14"/>
      <c r="H23" s="14"/>
      <c r="I23" s="14"/>
    </row>
    <row r="24" spans="1:9" ht="15.75" customHeight="1" x14ac:dyDescent="0.15">
      <c r="A24" s="4"/>
      <c r="B24" s="4"/>
      <c r="C24" s="4"/>
      <c r="D24" s="5"/>
      <c r="E24" s="5"/>
      <c r="F24" s="14"/>
      <c r="G24" s="14"/>
      <c r="H24" s="14"/>
      <c r="I24" s="14"/>
    </row>
    <row r="25" spans="1:9" ht="15.75" customHeight="1" x14ac:dyDescent="0.15">
      <c r="A25" s="4"/>
      <c r="B25" s="4"/>
      <c r="C25" s="4"/>
      <c r="D25" s="5"/>
      <c r="E25" s="5"/>
      <c r="F25" s="14"/>
      <c r="G25" s="14"/>
      <c r="H25" s="14"/>
    </row>
    <row r="26" spans="1:9" ht="15.75" customHeight="1" x14ac:dyDescent="0.15">
      <c r="A26" s="4"/>
      <c r="B26" s="4"/>
      <c r="C26" s="4"/>
      <c r="D26" s="5"/>
      <c r="E26" s="5"/>
      <c r="F26" s="14"/>
      <c r="H26" s="14"/>
    </row>
    <row r="27" spans="1:9" ht="15.75" customHeight="1" x14ac:dyDescent="0.15">
      <c r="A27" s="4"/>
      <c r="B27" s="4"/>
      <c r="C27" s="4"/>
      <c r="D27" s="5"/>
      <c r="E27" s="5"/>
      <c r="F27" s="14"/>
    </row>
    <row r="28" spans="1:9" ht="15.75" customHeight="1" x14ac:dyDescent="0.15">
      <c r="A28" s="4"/>
      <c r="B28" s="4"/>
      <c r="C28" s="4"/>
      <c r="D28" s="5"/>
      <c r="E28" s="5"/>
    </row>
    <row r="29" spans="1:9" ht="15.75" customHeight="1" x14ac:dyDescent="0.15">
      <c r="A29" s="4"/>
      <c r="B29" s="4"/>
      <c r="C29" s="4"/>
      <c r="D29" s="5"/>
      <c r="E29" s="5"/>
    </row>
    <row r="30" spans="1:9" ht="15.75" customHeight="1" x14ac:dyDescent="0.15">
      <c r="A30" s="4"/>
      <c r="B30" s="4"/>
      <c r="C30" s="4"/>
      <c r="D30" s="5"/>
      <c r="E30" s="5"/>
    </row>
    <row r="31" spans="1:9" ht="15.75" customHeight="1" x14ac:dyDescent="0.15">
      <c r="A31" s="10" t="s">
        <v>40</v>
      </c>
      <c r="B31" s="4"/>
      <c r="C31" s="4"/>
      <c r="D31" s="5"/>
      <c r="E31" s="3">
        <f>SUM(E10:E30)</f>
        <v>0.01</v>
      </c>
    </row>
    <row r="37" spans="9:9" ht="15.75" customHeight="1" x14ac:dyDescent="0.15">
      <c r="I37" s="15"/>
    </row>
  </sheetData>
  <mergeCells count="1">
    <mergeCell ref="A1:L1"/>
  </mergeCells>
  <dataValidations count="4">
    <dataValidation type="list" allowBlank="1" showErrorMessage="1" sqref="A4:A6" xr:uid="{00000000-0002-0000-0A00-000000000000}">
      <formula1>"Salary,Other,VA"</formula1>
    </dataValidation>
    <dataValidation type="list" allowBlank="1" showErrorMessage="1" sqref="B10:B30" xr:uid="{00000000-0002-0000-0A00-000001000000}">
      <formula1>"Need,Want,Saving"</formula1>
    </dataValidation>
    <dataValidation type="list" allowBlank="1" showErrorMessage="1" sqref="A10:A30" xr:uid="{00000000-0002-0000-0A00-000002000000}">
      <formula1>"Rent,Phone Bill,Wifi,Insurance,Subscriptions,Gas,Groceries,Eating Out,Entertainment,Gaming,Shopping,Savings"</formula1>
    </dataValidation>
    <dataValidation type="list" allowBlank="1" showErrorMessage="1" sqref="D10:D30" xr:uid="{00000000-0002-0000-0A00-000003000000}">
      <formula1>"Fixed,Variable"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3C78D8"/>
    <outlinePr summaryBelow="0" summaryRight="0"/>
  </sheetPr>
  <dimension ref="A1:AA37"/>
  <sheetViews>
    <sheetView showGridLines="0" tabSelected="1" workbookViewId="0">
      <pane ySplit="1" topLeftCell="A2" activePane="bottomLeft" state="frozen"/>
      <selection pane="bottomLeft" activeCell="L10" sqref="L10"/>
    </sheetView>
  </sheetViews>
  <sheetFormatPr baseColWidth="10" defaultColWidth="12.6640625" defaultRowHeight="15.75" customHeight="1" x14ac:dyDescent="0.15"/>
  <cols>
    <col min="1" max="1" width="17.6640625" customWidth="1"/>
    <col min="2" max="2" width="16.5" customWidth="1"/>
    <col min="3" max="3" width="16.6640625" customWidth="1"/>
    <col min="4" max="4" width="10.6640625" customWidth="1"/>
    <col min="5" max="5" width="15.1640625" customWidth="1"/>
    <col min="7" max="7" width="9.33203125" customWidth="1"/>
    <col min="8" max="8" width="25" customWidth="1"/>
    <col min="13" max="27" width="12.6640625" hidden="1"/>
  </cols>
  <sheetData>
    <row r="1" spans="1:12" ht="26" customHeight="1" x14ac:dyDescent="0.35">
      <c r="A1" s="16" t="s">
        <v>61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3" spans="1:12" ht="15.75" customHeight="1" x14ac:dyDescent="0.15">
      <c r="A3" s="1" t="s">
        <v>62</v>
      </c>
      <c r="B3" s="2" t="s">
        <v>2</v>
      </c>
      <c r="C3" s="2" t="s">
        <v>3</v>
      </c>
      <c r="H3" s="2" t="s">
        <v>4</v>
      </c>
      <c r="I3" s="3">
        <f>SUMIF(D10:D30, "Fixed", E10:E30)</f>
        <v>0</v>
      </c>
    </row>
    <row r="4" spans="1:12" ht="15.75" customHeight="1" x14ac:dyDescent="0.15">
      <c r="A4" s="4" t="s">
        <v>5</v>
      </c>
      <c r="B4" s="5"/>
      <c r="C4" s="6"/>
      <c r="E4" s="7" t="s">
        <v>6</v>
      </c>
      <c r="F4" s="8">
        <f>B7-E31</f>
        <v>-0.01</v>
      </c>
      <c r="H4" s="2" t="s">
        <v>7</v>
      </c>
      <c r="I4" s="3">
        <f>SUMIF(D10:D30, "Variable", E10:E30)</f>
        <v>0</v>
      </c>
    </row>
    <row r="5" spans="1:12" ht="15.75" customHeight="1" x14ac:dyDescent="0.15">
      <c r="A5" s="4" t="s">
        <v>8</v>
      </c>
      <c r="B5" s="5"/>
      <c r="C5" s="6"/>
      <c r="E5" s="7" t="s">
        <v>9</v>
      </c>
      <c r="F5" s="9">
        <f>IF(B7=0,0,F4/B7)</f>
        <v>0</v>
      </c>
      <c r="H5" s="2" t="s">
        <v>10</v>
      </c>
      <c r="I5" s="3">
        <f>SUM(E31:E1000)</f>
        <v>0.01</v>
      </c>
    </row>
    <row r="6" spans="1:12" ht="15.75" customHeight="1" x14ac:dyDescent="0.15">
      <c r="A6" s="4" t="s">
        <v>11</v>
      </c>
      <c r="B6" s="5"/>
      <c r="C6" s="6"/>
    </row>
    <row r="7" spans="1:12" ht="15.75" customHeight="1" x14ac:dyDescent="0.15">
      <c r="A7" s="10" t="s">
        <v>12</v>
      </c>
      <c r="B7" s="3">
        <f>SUM(B4:B6)</f>
        <v>0</v>
      </c>
      <c r="C7" s="6"/>
    </row>
    <row r="9" spans="1:12" ht="15.75" customHeight="1" x14ac:dyDescent="0.15">
      <c r="A9" s="2" t="s">
        <v>13</v>
      </c>
      <c r="B9" s="2" t="s">
        <v>14</v>
      </c>
      <c r="C9" s="2" t="s">
        <v>15</v>
      </c>
      <c r="D9" s="2" t="s">
        <v>16</v>
      </c>
      <c r="E9" s="2" t="s">
        <v>2</v>
      </c>
      <c r="H9" s="11" t="s">
        <v>17</v>
      </c>
      <c r="I9" s="12">
        <f>B7 * 0.3</f>
        <v>0</v>
      </c>
    </row>
    <row r="10" spans="1:12" ht="15.75" customHeight="1" x14ac:dyDescent="0.15">
      <c r="A10" s="4"/>
      <c r="B10" s="4"/>
      <c r="C10" s="4"/>
      <c r="D10" s="5"/>
      <c r="E10" s="5">
        <v>0.01</v>
      </c>
      <c r="H10" s="11" t="s">
        <v>21</v>
      </c>
      <c r="I10" s="12">
        <f>SUMIF(B10:B1000, "Need", E10:E1000)</f>
        <v>0</v>
      </c>
    </row>
    <row r="11" spans="1:12" ht="15.75" customHeight="1" x14ac:dyDescent="0.15">
      <c r="A11" s="4"/>
      <c r="B11" s="4"/>
      <c r="C11" s="4"/>
      <c r="D11" s="5"/>
      <c r="E11" s="5"/>
      <c r="H11" s="11" t="s">
        <v>26</v>
      </c>
      <c r="I11" s="13" t="e">
        <f>I10/ B7</f>
        <v>#DIV/0!</v>
      </c>
    </row>
    <row r="12" spans="1:12" ht="15.75" customHeight="1" x14ac:dyDescent="0.15">
      <c r="A12" s="4"/>
      <c r="B12" s="4"/>
      <c r="C12" s="4"/>
      <c r="D12" s="5"/>
      <c r="E12" s="5"/>
      <c r="F12" s="14"/>
      <c r="H12" s="14"/>
      <c r="I12" s="14"/>
    </row>
    <row r="13" spans="1:12" ht="15.75" customHeight="1" x14ac:dyDescent="0.15">
      <c r="A13" s="4"/>
      <c r="B13" s="4"/>
      <c r="C13" s="4"/>
      <c r="D13" s="5"/>
      <c r="E13" s="5"/>
      <c r="F13" s="14"/>
      <c r="H13" s="11" t="s">
        <v>30</v>
      </c>
      <c r="I13" s="12">
        <f>B7 * 0.2</f>
        <v>0</v>
      </c>
    </row>
    <row r="14" spans="1:12" ht="15.75" customHeight="1" x14ac:dyDescent="0.15">
      <c r="A14" s="4"/>
      <c r="B14" s="4"/>
      <c r="C14" s="4"/>
      <c r="D14" s="5"/>
      <c r="E14" s="5"/>
      <c r="F14" s="14"/>
      <c r="H14" s="11" t="s">
        <v>33</v>
      </c>
      <c r="I14" s="12">
        <f>SUMIF(B10:B1000, "Want", E10:E1000)</f>
        <v>0</v>
      </c>
    </row>
    <row r="15" spans="1:12" ht="15.75" customHeight="1" x14ac:dyDescent="0.15">
      <c r="A15" s="4"/>
      <c r="B15" s="4"/>
      <c r="C15" s="4"/>
      <c r="D15" s="5"/>
      <c r="E15" s="5"/>
      <c r="F15" s="14"/>
      <c r="H15" s="11" t="s">
        <v>26</v>
      </c>
      <c r="I15" s="13" t="e">
        <f>I14/B7</f>
        <v>#DIV/0!</v>
      </c>
    </row>
    <row r="16" spans="1:12" ht="15.75" customHeight="1" x14ac:dyDescent="0.15">
      <c r="A16" s="4"/>
      <c r="B16" s="4"/>
      <c r="C16" s="4"/>
      <c r="D16" s="5"/>
      <c r="E16" s="5"/>
      <c r="F16" s="14"/>
      <c r="H16" s="14"/>
      <c r="I16" s="14"/>
    </row>
    <row r="17" spans="1:9" ht="15.75" customHeight="1" x14ac:dyDescent="0.15">
      <c r="A17" s="4"/>
      <c r="B17" s="4"/>
      <c r="C17" s="4"/>
      <c r="D17" s="5"/>
      <c r="E17" s="5"/>
      <c r="F17" s="14"/>
      <c r="H17" s="11" t="s">
        <v>38</v>
      </c>
      <c r="I17" s="12">
        <f>B7 * 0.5</f>
        <v>0</v>
      </c>
    </row>
    <row r="18" spans="1:9" ht="15.75" customHeight="1" x14ac:dyDescent="0.15">
      <c r="A18" s="4"/>
      <c r="B18" s="4"/>
      <c r="C18" s="4"/>
      <c r="D18" s="5"/>
      <c r="E18" s="5"/>
      <c r="F18" s="14"/>
      <c r="H18" s="11" t="s">
        <v>39</v>
      </c>
      <c r="I18" s="12">
        <f>SUMIF(B10:B1000, "Saving", E10:E1000)</f>
        <v>0</v>
      </c>
    </row>
    <row r="19" spans="1:9" ht="15.75" customHeight="1" x14ac:dyDescent="0.15">
      <c r="A19" s="4"/>
      <c r="B19" s="4"/>
      <c r="C19" s="4"/>
      <c r="D19" s="5"/>
      <c r="E19" s="5"/>
      <c r="F19" s="14"/>
      <c r="H19" s="11" t="s">
        <v>26</v>
      </c>
      <c r="I19" s="13" t="e">
        <f>I18/ B7</f>
        <v>#DIV/0!</v>
      </c>
    </row>
    <row r="20" spans="1:9" ht="15.75" customHeight="1" x14ac:dyDescent="0.15">
      <c r="A20" s="4"/>
      <c r="B20" s="4"/>
      <c r="C20" s="4"/>
      <c r="D20" s="5"/>
      <c r="E20" s="5"/>
      <c r="F20" s="14"/>
      <c r="H20" s="14"/>
      <c r="I20" s="14"/>
    </row>
    <row r="21" spans="1:9" ht="15.75" customHeight="1" x14ac:dyDescent="0.15">
      <c r="A21" s="4"/>
      <c r="B21" s="4"/>
      <c r="C21" s="4"/>
      <c r="D21" s="5"/>
      <c r="E21" s="5"/>
      <c r="F21" s="14"/>
      <c r="G21" s="14"/>
      <c r="H21" s="14"/>
      <c r="I21" s="14"/>
    </row>
    <row r="22" spans="1:9" ht="15.75" customHeight="1" x14ac:dyDescent="0.15">
      <c r="A22" s="4"/>
      <c r="B22" s="4"/>
      <c r="C22" s="4"/>
      <c r="D22" s="5"/>
      <c r="E22" s="5"/>
      <c r="F22" s="14"/>
      <c r="G22" s="14"/>
      <c r="H22" s="14"/>
      <c r="I22" s="14"/>
    </row>
    <row r="23" spans="1:9" ht="15.75" customHeight="1" x14ac:dyDescent="0.15">
      <c r="A23" s="4"/>
      <c r="B23" s="4"/>
      <c r="C23" s="4"/>
      <c r="D23" s="5"/>
      <c r="E23" s="5"/>
      <c r="F23" s="14"/>
      <c r="G23" s="14"/>
      <c r="H23" s="14"/>
      <c r="I23" s="14"/>
    </row>
    <row r="24" spans="1:9" ht="15.75" customHeight="1" x14ac:dyDescent="0.15">
      <c r="A24" s="4"/>
      <c r="B24" s="4"/>
      <c r="C24" s="4"/>
      <c r="D24" s="5"/>
      <c r="E24" s="5"/>
      <c r="F24" s="14"/>
      <c r="G24" s="14"/>
      <c r="H24" s="14"/>
      <c r="I24" s="14"/>
    </row>
    <row r="25" spans="1:9" ht="15.75" customHeight="1" x14ac:dyDescent="0.15">
      <c r="A25" s="4"/>
      <c r="B25" s="4"/>
      <c r="C25" s="4"/>
      <c r="D25" s="5"/>
      <c r="E25" s="5"/>
      <c r="F25" s="14"/>
      <c r="G25" s="14"/>
      <c r="H25" s="14"/>
    </row>
    <row r="26" spans="1:9" ht="15.75" customHeight="1" x14ac:dyDescent="0.15">
      <c r="A26" s="4"/>
      <c r="B26" s="4"/>
      <c r="C26" s="4"/>
      <c r="D26" s="5"/>
      <c r="E26" s="5"/>
      <c r="F26" s="14"/>
      <c r="H26" s="14"/>
    </row>
    <row r="27" spans="1:9" ht="15.75" customHeight="1" x14ac:dyDescent="0.15">
      <c r="A27" s="4"/>
      <c r="B27" s="4"/>
      <c r="C27" s="4"/>
      <c r="D27" s="5"/>
      <c r="E27" s="5"/>
      <c r="F27" s="14"/>
    </row>
    <row r="28" spans="1:9" ht="15.75" customHeight="1" x14ac:dyDescent="0.15">
      <c r="A28" s="4"/>
      <c r="B28" s="4"/>
      <c r="C28" s="4"/>
      <c r="D28" s="5"/>
      <c r="E28" s="5"/>
    </row>
    <row r="29" spans="1:9" ht="15.75" customHeight="1" x14ac:dyDescent="0.15">
      <c r="A29" s="4"/>
      <c r="B29" s="4"/>
      <c r="C29" s="4"/>
      <c r="D29" s="5"/>
      <c r="E29" s="5"/>
    </row>
    <row r="30" spans="1:9" ht="15.75" customHeight="1" x14ac:dyDescent="0.15">
      <c r="A30" s="4"/>
      <c r="B30" s="4"/>
      <c r="C30" s="4"/>
      <c r="D30" s="5"/>
      <c r="E30" s="5"/>
    </row>
    <row r="31" spans="1:9" ht="15.75" customHeight="1" x14ac:dyDescent="0.15">
      <c r="A31" s="10" t="s">
        <v>40</v>
      </c>
      <c r="B31" s="4"/>
      <c r="C31" s="4"/>
      <c r="D31" s="5"/>
      <c r="E31" s="3">
        <f>SUM(E10:E30)</f>
        <v>0.01</v>
      </c>
    </row>
    <row r="37" spans="9:9" ht="15.75" customHeight="1" x14ac:dyDescent="0.15">
      <c r="I37" s="15"/>
    </row>
  </sheetData>
  <mergeCells count="1">
    <mergeCell ref="A1:L1"/>
  </mergeCells>
  <dataValidations count="4">
    <dataValidation type="list" allowBlank="1" showErrorMessage="1" sqref="A4:A6" xr:uid="{00000000-0002-0000-0B00-000000000000}">
      <formula1>"Salary,Other,VA"</formula1>
    </dataValidation>
    <dataValidation type="list" allowBlank="1" showErrorMessage="1" sqref="B10:B30" xr:uid="{00000000-0002-0000-0B00-000001000000}">
      <formula1>"Need,Want,Saving"</formula1>
    </dataValidation>
    <dataValidation type="list" allowBlank="1" showErrorMessage="1" sqref="A10:A30" xr:uid="{00000000-0002-0000-0B00-000002000000}">
      <formula1>"Rent,Phone Bill,Wifi,Insurance,Subscriptions,Gas,Groceries,Eating Out,Entertainment,Gaming,Shopping,Savings"</formula1>
    </dataValidation>
    <dataValidation type="list" allowBlank="1" showErrorMessage="1" sqref="D10:D30" xr:uid="{00000000-0002-0000-0B00-000003000000}">
      <formula1>"Fixed,Variable"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</vt:lpstr>
      <vt:lpstr>Feb</vt:lpstr>
      <vt:lpstr>Mar</vt:lpstr>
      <vt:lpstr>Apr</vt:lpstr>
      <vt:lpstr>May</vt:lpstr>
      <vt:lpstr>June</vt:lpstr>
      <vt:lpstr>July</vt:lpstr>
      <vt:lpstr>Aug</vt:lpstr>
      <vt:lpstr>Sep</vt:lpstr>
      <vt:lpstr>Oct</vt:lpstr>
      <vt:lpstr>Nov</vt:lpstr>
      <vt:lpstr>Dec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Samantha Sandoval</cp:lastModifiedBy>
  <dcterms:created xsi:type="dcterms:W3CDTF">2026-03-31T04:14:49Z</dcterms:created>
  <dcterms:modified xsi:type="dcterms:W3CDTF">2026-03-31T04:14:49Z</dcterms:modified>
</cp:coreProperties>
</file>